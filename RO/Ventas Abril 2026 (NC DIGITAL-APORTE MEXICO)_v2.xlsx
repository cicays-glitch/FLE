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RO/"/>
    </mc:Choice>
  </mc:AlternateContent>
  <xr:revisionPtr revIDLastSave="0" documentId="8_{EEC7763F-7759-442E-8CA1-B70C1F0127E1}" xr6:coauthVersionLast="47" xr6:coauthVersionMax="47" xr10:uidLastSave="{00000000-0000-0000-0000-000000000000}"/>
  <bookViews>
    <workbookView xWindow="20525" yWindow="-107" windowWidth="20848" windowHeight="11111" xr2:uid="{9BA6CACE-49B3-4077-ACD3-88FCDC7BC844}"/>
  </bookViews>
  <sheets>
    <sheet name="Hoja1" sheetId="1" r:id="rId1"/>
  </sheets>
  <definedNames>
    <definedName name="_xlnm._FilterDatabase" localSheetId="0" hidden="1">Hoja1!$A$3:$S$3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2" i="1" l="1"/>
  <c r="R2" i="1"/>
  <c r="Q2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</calcChain>
</file>

<file path=xl/sharedStrings.xml><?xml version="1.0" encoding="utf-8"?>
<sst xmlns="http://schemas.openxmlformats.org/spreadsheetml/2006/main" count="3627" uniqueCount="1022">
  <si>
    <t>TIENDA</t>
  </si>
  <si>
    <t>NOMBRE TIENDA</t>
  </si>
  <si>
    <t>SKU</t>
  </si>
  <si>
    <t>BARRA</t>
  </si>
  <si>
    <t>DESCRIPCIÓN</t>
  </si>
  <si>
    <t>CLASE</t>
  </si>
  <si>
    <t>MARCA</t>
  </si>
  <si>
    <t>FAMILIA</t>
  </si>
  <si>
    <t>SUBFAMILIA</t>
  </si>
  <si>
    <t>TIPO PRENDA</t>
  </si>
  <si>
    <t>FECHA</t>
  </si>
  <si>
    <t>TIPO DOC.</t>
  </si>
  <si>
    <t>NUMERO DOC.</t>
  </si>
  <si>
    <t>CANTIDAD</t>
  </si>
  <si>
    <t>PRECIO</t>
  </si>
  <si>
    <t>COSTO UNITARIO</t>
  </si>
  <si>
    <t>BODEGA CENTRAL</t>
  </si>
  <si>
    <t>109220CAMEL230</t>
  </si>
  <si>
    <t>7500421574171</t>
  </si>
  <si>
    <t>BOTIN MUJER IZA 109220CAMEL</t>
  </si>
  <si>
    <t>CALZADO</t>
  </si>
  <si>
    <t>FLEXI</t>
  </si>
  <si>
    <t>IZA</t>
  </si>
  <si>
    <t>GENERICO</t>
  </si>
  <si>
    <t>BOTIN</t>
  </si>
  <si>
    <t>01/04/2026</t>
  </si>
  <si>
    <t>NC</t>
  </si>
  <si>
    <t>116012NEGRO230</t>
  </si>
  <si>
    <t>7500421538265</t>
  </si>
  <si>
    <t>SANDALIA MUJER AMAPOLA 116012NEGRO</t>
  </si>
  <si>
    <t>AMAPOLA</t>
  </si>
  <si>
    <t>SANDALIA</t>
  </si>
  <si>
    <t>100214CAFE230</t>
  </si>
  <si>
    <t>7500421490556</t>
  </si>
  <si>
    <t>SANDALIA MUJER PEONIA 100214CAFE</t>
  </si>
  <si>
    <t>PEONIA</t>
  </si>
  <si>
    <t>113312CAFE260</t>
  </si>
  <si>
    <t>7500421536896</t>
  </si>
  <si>
    <t>SANDALIA MUJER EMILY 113312CAFE</t>
  </si>
  <si>
    <t>EMILY</t>
  </si>
  <si>
    <t>119903NEGRO245</t>
  </si>
  <si>
    <t>7500421593660</t>
  </si>
  <si>
    <t>MOCASIN MUJER KIRSTEN 119903NEGRO</t>
  </si>
  <si>
    <t>KIRSTEN</t>
  </si>
  <si>
    <t>MOCASIN</t>
  </si>
  <si>
    <t>413602NEGRO290</t>
  </si>
  <si>
    <t>7500421556771</t>
  </si>
  <si>
    <t>ZAPATO HOMBRE CRYPTO 413602NEGRO</t>
  </si>
  <si>
    <t>CRYPTO</t>
  </si>
  <si>
    <t>ZAPATO</t>
  </si>
  <si>
    <t>116023BEIGE220</t>
  </si>
  <si>
    <t>7500421816042</t>
  </si>
  <si>
    <t>SANDALIA MUJER AMAPOLA 116023BEIGE</t>
  </si>
  <si>
    <t>101908CAFE250</t>
  </si>
  <si>
    <t>7500421486306</t>
  </si>
  <si>
    <t>ZAPATO MUJER AMELIE 101908CAFE</t>
  </si>
  <si>
    <t>AMELIE</t>
  </si>
  <si>
    <t>128304BLANCO240</t>
  </si>
  <si>
    <t>7500421663660</t>
  </si>
  <si>
    <t>SANDALIA MUJER GILMA 128304BLANCO</t>
  </si>
  <si>
    <t>GILMA</t>
  </si>
  <si>
    <t>417501GRIS290</t>
  </si>
  <si>
    <t>7500421702789</t>
  </si>
  <si>
    <t>ZAPATILLA HOMBRE CARDIFF 417501GRIS</t>
  </si>
  <si>
    <t>CARDIFF</t>
  </si>
  <si>
    <t>ZAPATILLA</t>
  </si>
  <si>
    <t>100224NEGRO250</t>
  </si>
  <si>
    <t>7500421534342</t>
  </si>
  <si>
    <t>SANDALIA MUJER PEONIA 100224NEGRO</t>
  </si>
  <si>
    <t>410401CAFE300</t>
  </si>
  <si>
    <t>7500421500521</t>
  </si>
  <si>
    <t>MOCASIN HOMBRE COS 410401CAFE</t>
  </si>
  <si>
    <t>COS</t>
  </si>
  <si>
    <t>124304ALGODON230</t>
  </si>
  <si>
    <t>7500421824450</t>
  </si>
  <si>
    <t>MOCASIN MUJER PAMELA 124304ALGODON</t>
  </si>
  <si>
    <t>PAMELA</t>
  </si>
  <si>
    <t>413005TAN280</t>
  </si>
  <si>
    <t>7500421559079</t>
  </si>
  <si>
    <t>ZAPATILLA HOMBRE HIKA 413005TAN</t>
  </si>
  <si>
    <t>HIKA</t>
  </si>
  <si>
    <t>02/04/2026</t>
  </si>
  <si>
    <t>126602NEGRO240</t>
  </si>
  <si>
    <t>7500421315866</t>
  </si>
  <si>
    <t>MOCASIN MUJER HAYEK 126602NEGRO</t>
  </si>
  <si>
    <t>HAYEK</t>
  </si>
  <si>
    <t>0</t>
  </si>
  <si>
    <t>CODIGO GLOSA</t>
  </si>
  <si>
    <t>GLOSA</t>
  </si>
  <si>
    <t>06/04/2026</t>
  </si>
  <si>
    <t>FV</t>
  </si>
  <si>
    <t>104501VIBORACAFE240</t>
  </si>
  <si>
    <t>7500421550380</t>
  </si>
  <si>
    <t>ZAPATO MUJER IDRIS 104501VIBORACAFE</t>
  </si>
  <si>
    <t>IDRIS</t>
  </si>
  <si>
    <t>116013ORO250</t>
  </si>
  <si>
    <t>7500421538524</t>
  </si>
  <si>
    <t>SANDALIA MUJER AMAPOLA 116013ORO</t>
  </si>
  <si>
    <t>07/04/2026</t>
  </si>
  <si>
    <t>127602NEGRO240</t>
  </si>
  <si>
    <t>7500421633458</t>
  </si>
  <si>
    <t>SANDALIA MUJER RORAIMA 127602NEGRO</t>
  </si>
  <si>
    <t>RORAIMA</t>
  </si>
  <si>
    <t>124404NUDE240</t>
  </si>
  <si>
    <t>7500421545218</t>
  </si>
  <si>
    <t>ZAPATO MUJER PIPA 124404NUDE</t>
  </si>
  <si>
    <t>PIPA</t>
  </si>
  <si>
    <t>2820242AZUL250</t>
  </si>
  <si>
    <t>4064195258703</t>
  </si>
  <si>
    <t>SANDALIA MUJER 2820242AZUL</t>
  </si>
  <si>
    <t>TAMARIS</t>
  </si>
  <si>
    <t>103504BEIGE230</t>
  </si>
  <si>
    <t>7500421610725</t>
  </si>
  <si>
    <t>ZAPATILLA MUJER JESSY 103504BEIGE</t>
  </si>
  <si>
    <t>JESSY</t>
  </si>
  <si>
    <t>416102SHEDRON280</t>
  </si>
  <si>
    <t>7500421222348</t>
  </si>
  <si>
    <t>BOTIN HOMBRE FABRA 416102SHEDRON</t>
  </si>
  <si>
    <t>FABRA</t>
  </si>
  <si>
    <t>123103TAN240</t>
  </si>
  <si>
    <t>7500421540480</t>
  </si>
  <si>
    <t>SANDALIA MUJER DOHA 123103TAN</t>
  </si>
  <si>
    <t>DOHA</t>
  </si>
  <si>
    <t>407801NEGRO260</t>
  </si>
  <si>
    <t>7500421434222</t>
  </si>
  <si>
    <t>ZAPATO HOMBRE COOK 407801NEGRO</t>
  </si>
  <si>
    <t>COOK</t>
  </si>
  <si>
    <t>117212BLANCO260</t>
  </si>
  <si>
    <t>7500421980453</t>
  </si>
  <si>
    <t>ZAPATILLA MUJER ATSIRI 117212BLANCO</t>
  </si>
  <si>
    <t>ATSIRI</t>
  </si>
  <si>
    <t>51727AZUL270</t>
  </si>
  <si>
    <t>7500421721919</t>
  </si>
  <si>
    <t>ZAPATO MUJER LIBRA 51727AZUL</t>
  </si>
  <si>
    <t>LIBRA</t>
  </si>
  <si>
    <t>127702NEGRO250</t>
  </si>
  <si>
    <t>7500421633915</t>
  </si>
  <si>
    <t>SANDALIA MUJER MANAUS 127702NEGRO</t>
  </si>
  <si>
    <t>MANAUS</t>
  </si>
  <si>
    <t>413602NEGRO280</t>
  </si>
  <si>
    <t>7500421556757</t>
  </si>
  <si>
    <t>119901CAFE240</t>
  </si>
  <si>
    <t>7500421456859</t>
  </si>
  <si>
    <t>MOCASIN MUJER KIRSTEN 119901CAFE</t>
  </si>
  <si>
    <t>127901NUDE240</t>
  </si>
  <si>
    <t>7500421633199</t>
  </si>
  <si>
    <t>SANDALIA MUJER OLINDA 127901NUDE</t>
  </si>
  <si>
    <t>OLINDA</t>
  </si>
  <si>
    <t>133603BLANCO240</t>
  </si>
  <si>
    <t>7500421856024</t>
  </si>
  <si>
    <t>SANDALIA MUJER CATERINA 133603BLANCO</t>
  </si>
  <si>
    <t>CATERINA</t>
  </si>
  <si>
    <t>131601BLANCO-PLATA-OROROSA260</t>
  </si>
  <si>
    <t>7500421928363</t>
  </si>
  <si>
    <t>ZAPATILLA MUJER INNA 131601BLANCO-PLATA-OROROSA</t>
  </si>
  <si>
    <t>INNA</t>
  </si>
  <si>
    <t>107303BROWN230</t>
  </si>
  <si>
    <t>7500421490334</t>
  </si>
  <si>
    <t>SANDALIA MUJER FETUCCINI 107303BROWN</t>
  </si>
  <si>
    <t>FETUCCINI</t>
  </si>
  <si>
    <t>110006BEIGE240</t>
  </si>
  <si>
    <t>7500421516119</t>
  </si>
  <si>
    <t>BOOTIE MUJER LIZZY 110006BEIGE</t>
  </si>
  <si>
    <t>LIZZY</t>
  </si>
  <si>
    <t>BOOTIE</t>
  </si>
  <si>
    <t>129201BLANCO240</t>
  </si>
  <si>
    <t>7500421674628</t>
  </si>
  <si>
    <t>ZAPATILLA MUJER BARDI 129201BLANCO</t>
  </si>
  <si>
    <t>BARDI</t>
  </si>
  <si>
    <t>102921BLANCO260</t>
  </si>
  <si>
    <t>7500421643099</t>
  </si>
  <si>
    <t>SANDALIA MUJER LORY 102921BLANCO</t>
  </si>
  <si>
    <t>LORY</t>
  </si>
  <si>
    <t>102002CAFE240</t>
  </si>
  <si>
    <t>7500421547199</t>
  </si>
  <si>
    <t>ZAPATILLA MUJER TRAVIATA 102002CAFE</t>
  </si>
  <si>
    <t>TRAVIATA</t>
  </si>
  <si>
    <t>134703MARINO250</t>
  </si>
  <si>
    <t>7500421866429</t>
  </si>
  <si>
    <t>ZAPATILLA MUJER EILEEN 134703MARINO</t>
  </si>
  <si>
    <t>EILEEN</t>
  </si>
  <si>
    <t>123005BLANCO230</t>
  </si>
  <si>
    <t>7500421626269</t>
  </si>
  <si>
    <t>SANDALIA MUJER KADEISHA 123005BLANCO</t>
  </si>
  <si>
    <t>KADEISHA</t>
  </si>
  <si>
    <t>413201NEGRO270</t>
  </si>
  <si>
    <t>7500421551561</t>
  </si>
  <si>
    <t>MOCASIN HOMBRE JUKO 413201NEGRO</t>
  </si>
  <si>
    <t>JUKO</t>
  </si>
  <si>
    <t>104501VIBORACAFE230</t>
  </si>
  <si>
    <t>7500421550366</t>
  </si>
  <si>
    <t>127904NEGRO240</t>
  </si>
  <si>
    <t>7500421616857</t>
  </si>
  <si>
    <t>SANDALIA MUJER OLINDA 127904NEGRO</t>
  </si>
  <si>
    <t>123702TAN240</t>
  </si>
  <si>
    <t>7500421556658</t>
  </si>
  <si>
    <t>SANDALIA MUJER ZURA 123702TAN</t>
  </si>
  <si>
    <t>ZURA</t>
  </si>
  <si>
    <t>409501MARRON260</t>
  </si>
  <si>
    <t>7500421496954</t>
  </si>
  <si>
    <t>ZAPATO HOMBRE WAZE 409501MARRON</t>
  </si>
  <si>
    <t>WAZE</t>
  </si>
  <si>
    <t>126706ORO240</t>
  </si>
  <si>
    <t>7500421688960</t>
  </si>
  <si>
    <t>ZAPATO MUJER EDITH 126706ORO</t>
  </si>
  <si>
    <t>EDITH</t>
  </si>
  <si>
    <t>104518NEGRO250</t>
  </si>
  <si>
    <t>7500421730379</t>
  </si>
  <si>
    <t>BOTA MUJER IDRIS 104518NEGRO</t>
  </si>
  <si>
    <t>BOTA</t>
  </si>
  <si>
    <t>15/04/2026</t>
  </si>
  <si>
    <t>406401NEGRO290</t>
  </si>
  <si>
    <t>7500421432525</t>
  </si>
  <si>
    <t>ZAPATO HOMBRE BALI 406401NEGRO</t>
  </si>
  <si>
    <t>BALI</t>
  </si>
  <si>
    <t>90716NEGRO290</t>
  </si>
  <si>
    <t>7500421507155</t>
  </si>
  <si>
    <t>ZAPATO HOMBRE SALAMANCA 90716NEGRO</t>
  </si>
  <si>
    <t>SALAMANCA</t>
  </si>
  <si>
    <t>109403CHAROLVINO220</t>
  </si>
  <si>
    <t>7500421725474</t>
  </si>
  <si>
    <t>ZAPATO MUJER CHARIS 109403CHAROLVINO</t>
  </si>
  <si>
    <t>CHARIS</t>
  </si>
  <si>
    <t>16/04/2026</t>
  </si>
  <si>
    <t>137401PETALOS220</t>
  </si>
  <si>
    <t>7500421978139</t>
  </si>
  <si>
    <t>ZAPATILLA MUJER MAITE 137401PETALOS</t>
  </si>
  <si>
    <t>MAITE</t>
  </si>
  <si>
    <t>125902NEGRO240</t>
  </si>
  <si>
    <t>7500421568750</t>
  </si>
  <si>
    <t>BOTIN MUJER UMA  125902NEGRO</t>
  </si>
  <si>
    <t>UMA</t>
  </si>
  <si>
    <t>17/04/2026</t>
  </si>
  <si>
    <t>1687976791</t>
  </si>
  <si>
    <t>DESPACHO</t>
  </si>
  <si>
    <t>NO APLICA</t>
  </si>
  <si>
    <t>418301BLANCO280</t>
  </si>
  <si>
    <t>7500421763995</t>
  </si>
  <si>
    <t>ZAPATILLA HOMBRE APEK 418301BLANCO</t>
  </si>
  <si>
    <t>APEK</t>
  </si>
  <si>
    <t>125403MARINO250</t>
  </si>
  <si>
    <t>7500421566626</t>
  </si>
  <si>
    <t>ZAPATILLA MUJER LINA 125403MARINO</t>
  </si>
  <si>
    <t>LINA</t>
  </si>
  <si>
    <t>123007NEGRO230</t>
  </si>
  <si>
    <t>7500421640685</t>
  </si>
  <si>
    <t>SANDALIA MUJER KADEISHA 123007NEGRO</t>
  </si>
  <si>
    <t>127702TAN240</t>
  </si>
  <si>
    <t>7500421634554</t>
  </si>
  <si>
    <t>SANDALIA MUJER MANAUS 127702TAN</t>
  </si>
  <si>
    <t>119701NEGRO260</t>
  </si>
  <si>
    <t>7500421511510</t>
  </si>
  <si>
    <t>ZAPATO MUJER MARIONE 119701NEGRO</t>
  </si>
  <si>
    <t>MARIONE</t>
  </si>
  <si>
    <t>137503NEGRO230</t>
  </si>
  <si>
    <t>7500421963302</t>
  </si>
  <si>
    <t>ZAPATO MUJER ANNETTE 137503NEGRO</t>
  </si>
  <si>
    <t>ANNETTE</t>
  </si>
  <si>
    <t>119903NEGRO240</t>
  </si>
  <si>
    <t>7500421593653</t>
  </si>
  <si>
    <t>109403CHAROLVINO260</t>
  </si>
  <si>
    <t>7500421725559</t>
  </si>
  <si>
    <t>129501HUESO250</t>
  </si>
  <si>
    <t>7500421701904</t>
  </si>
  <si>
    <t>SANDALIA MUJER CASSIA 129501HUESO</t>
  </si>
  <si>
    <t>CASSIA</t>
  </si>
  <si>
    <t>101908CAFE230</t>
  </si>
  <si>
    <t>7500421486269</t>
  </si>
  <si>
    <t>107601NEGRO245</t>
  </si>
  <si>
    <t>7500421450260</t>
  </si>
  <si>
    <t>ZAPATILLA MUJER BETH 107601NEGRO</t>
  </si>
  <si>
    <t>BETH</t>
  </si>
  <si>
    <t>103504NEGRO230</t>
  </si>
  <si>
    <t>7500421439012</t>
  </si>
  <si>
    <t>ZAPATILLA MUJER JESSY 103504NEGRO</t>
  </si>
  <si>
    <t>45204NEGRO240</t>
  </si>
  <si>
    <t>7500421294468</t>
  </si>
  <si>
    <t>ZAPATO MUJER YULISA 45204NEGRO</t>
  </si>
  <si>
    <t>YULISA</t>
  </si>
  <si>
    <t>400015NEGRO260</t>
  </si>
  <si>
    <t>7500421553626</t>
  </si>
  <si>
    <t>SANDALIA HOMBRE ODIN 400015NEGRO</t>
  </si>
  <si>
    <t>ODIN</t>
  </si>
  <si>
    <t>117207NEGRO220</t>
  </si>
  <si>
    <t>7500421556146</t>
  </si>
  <si>
    <t>ZAPATILLA MUJER ATSIRI 117207NEGRO</t>
  </si>
  <si>
    <t>119303DORADO270</t>
  </si>
  <si>
    <t>7500421766019</t>
  </si>
  <si>
    <t>ZAPATILLA MUJER ROSAURA 119303DORADO</t>
  </si>
  <si>
    <t>ROSAURA</t>
  </si>
  <si>
    <t>116310COBRE220</t>
  </si>
  <si>
    <t>7500421669822</t>
  </si>
  <si>
    <t>BALLERINA MUJER MARIE 116310COBRE</t>
  </si>
  <si>
    <t>MARIE</t>
  </si>
  <si>
    <t>BALLERINA</t>
  </si>
  <si>
    <t>21/04/2026</t>
  </si>
  <si>
    <t>134703MARINO220</t>
  </si>
  <si>
    <t>7500421866368</t>
  </si>
  <si>
    <t>130201TAN240</t>
  </si>
  <si>
    <t>7500421750247</t>
  </si>
  <si>
    <t>ZAPATILLA MUJER AZURE 130201TAN</t>
  </si>
  <si>
    <t>AZURE</t>
  </si>
  <si>
    <t>135301TAN260</t>
  </si>
  <si>
    <t>7500421882757</t>
  </si>
  <si>
    <t>SANDALIA MUJER STEPHANY 135301TAN</t>
  </si>
  <si>
    <t>STEPHANY</t>
  </si>
  <si>
    <t>22/04/2026</t>
  </si>
  <si>
    <t>130208DORADO240</t>
  </si>
  <si>
    <t>7500421979532</t>
  </si>
  <si>
    <t>ZAPATILLA MUJER AZURE 130208DORADO</t>
  </si>
  <si>
    <t>119303DORADO250</t>
  </si>
  <si>
    <t>7500421765975</t>
  </si>
  <si>
    <t>410401NEGRO270</t>
  </si>
  <si>
    <t>7500421500583</t>
  </si>
  <si>
    <t>MOCASIN HOMBRE COS 410401NEGRO</t>
  </si>
  <si>
    <t>103504NEGRO250</t>
  </si>
  <si>
    <t>7500421439050</t>
  </si>
  <si>
    <t>116802NAVY260</t>
  </si>
  <si>
    <t>7500421751480</t>
  </si>
  <si>
    <t>BOTIN MUJER LILITH 116802NAVY</t>
  </si>
  <si>
    <t>LILITH</t>
  </si>
  <si>
    <t>127002NEGRO240</t>
  </si>
  <si>
    <t>7500421610237</t>
  </si>
  <si>
    <t>ZAPATO MUJER STEPHIE 127002NEGRO</t>
  </si>
  <si>
    <t>STEPHIE</t>
  </si>
  <si>
    <t>412802SHEDRON300</t>
  </si>
  <si>
    <t>7500421542569</t>
  </si>
  <si>
    <t>ZAPATO HOMBRE OKAN 412802SHEDRON</t>
  </si>
  <si>
    <t>OKAN</t>
  </si>
  <si>
    <t>129702NEGRO240</t>
  </si>
  <si>
    <t>7500421692103</t>
  </si>
  <si>
    <t>ZAPATILLA MUJER LUCENA 129702NEGRO</t>
  </si>
  <si>
    <t>LUCENA</t>
  </si>
  <si>
    <t>105305ROSA240</t>
  </si>
  <si>
    <t>7500421505854</t>
  </si>
  <si>
    <t>MOCASIN MUJER YULI 105305ROSA</t>
  </si>
  <si>
    <t>YULI</t>
  </si>
  <si>
    <t>113306ROJO230</t>
  </si>
  <si>
    <t>7500421487365</t>
  </si>
  <si>
    <t>SANDALIA MUJER EMILY 113306ROJO</t>
  </si>
  <si>
    <t>104821NEGRO250</t>
  </si>
  <si>
    <t>7500421734377</t>
  </si>
  <si>
    <t>BOTIN MUJER CATALEYA 104821NEGRO</t>
  </si>
  <si>
    <t>CATALEYA</t>
  </si>
  <si>
    <t>127702TAN270</t>
  </si>
  <si>
    <t>7500421634615</t>
  </si>
  <si>
    <t>23/04/2026</t>
  </si>
  <si>
    <t>34914NEGRO240</t>
  </si>
  <si>
    <t>7500421440025</t>
  </si>
  <si>
    <t>SANDALIA MUJER GAIA 34914NEGRO</t>
  </si>
  <si>
    <t>GAIA</t>
  </si>
  <si>
    <t>34928NEGRO250</t>
  </si>
  <si>
    <t>7500421533130</t>
  </si>
  <si>
    <t>SANDALIA MUJER GAIA 34928NEGRO</t>
  </si>
  <si>
    <t>132201GRIS260</t>
  </si>
  <si>
    <t>7500421775363</t>
  </si>
  <si>
    <t>ZAPATILLA MUJER BRISEA 132201GRIS</t>
  </si>
  <si>
    <t>BRISEA</t>
  </si>
  <si>
    <t>409401TAN270</t>
  </si>
  <si>
    <t>7500421498842</t>
  </si>
  <si>
    <t>ZAPATO HOMBRE TITANIUM 409401TAN</t>
  </si>
  <si>
    <t>TITANIUM</t>
  </si>
  <si>
    <t>127703ORO240</t>
  </si>
  <si>
    <t>7500421634332</t>
  </si>
  <si>
    <t>SANDALIA MUJER MANAUS 127703ORO</t>
  </si>
  <si>
    <t>24/04/2026</t>
  </si>
  <si>
    <t>413903NEGRO280</t>
  </si>
  <si>
    <t>7500421673577</t>
  </si>
  <si>
    <t>ZAPATILLA HOMBRE FLOW 413903NEGRO</t>
  </si>
  <si>
    <t>FLOW</t>
  </si>
  <si>
    <t>102921TERRACOTA230</t>
  </si>
  <si>
    <t>7500421637821</t>
  </si>
  <si>
    <t>SANDALIA MUJER LORY 102921TERRACOTA</t>
  </si>
  <si>
    <t>102921TERRACOTA250</t>
  </si>
  <si>
    <t>7500421637869</t>
  </si>
  <si>
    <t>124802GRIS270</t>
  </si>
  <si>
    <t>7500421548462</t>
  </si>
  <si>
    <t>ZAPATILLA MUJER DANNA 124802GRIS</t>
  </si>
  <si>
    <t>DANNA</t>
  </si>
  <si>
    <t>135602NEGRO240</t>
  </si>
  <si>
    <t>7500421883372</t>
  </si>
  <si>
    <t>SANDALIA MUJER ESTER 135602NEGRO</t>
  </si>
  <si>
    <t>ESTER</t>
  </si>
  <si>
    <t>28/04/2026</t>
  </si>
  <si>
    <t>409906NEGRO280</t>
  </si>
  <si>
    <t>7500421550632</t>
  </si>
  <si>
    <t>ZAPATO HOMBRE RIDER 409906NEGRO</t>
  </si>
  <si>
    <t>RIDER</t>
  </si>
  <si>
    <t>104919AZUL230</t>
  </si>
  <si>
    <t>7500421773543</t>
  </si>
  <si>
    <t>ZAPATILLA MUJER GRECYA 104919AZUL</t>
  </si>
  <si>
    <t>GRECYA</t>
  </si>
  <si>
    <t>126603NEGRO240</t>
  </si>
  <si>
    <t>7500421603680</t>
  </si>
  <si>
    <t>MOCASIN MUJER HAYEK 126603NEGRO</t>
  </si>
  <si>
    <t>119903NEGRO220</t>
  </si>
  <si>
    <t>7500421593615</t>
  </si>
  <si>
    <t>109403CHAROLVINO230</t>
  </si>
  <si>
    <t>7500421725498</t>
  </si>
  <si>
    <t>104501NEGRO260</t>
  </si>
  <si>
    <t>7500421405550</t>
  </si>
  <si>
    <t>ZAPATO MUJER IDRIS 104501NEGRO</t>
  </si>
  <si>
    <t>131902NEGRO230</t>
  </si>
  <si>
    <t>7500421750483</t>
  </si>
  <si>
    <t>ZAPATO MUJER ANTICA 131902NEGRO</t>
  </si>
  <si>
    <t>ANTICA</t>
  </si>
  <si>
    <t>417007CAFE270</t>
  </si>
  <si>
    <t>7500421756058</t>
  </si>
  <si>
    <t>BOTIN HOMBRE FRONZI 417007CAFE</t>
  </si>
  <si>
    <t>FRONZI</t>
  </si>
  <si>
    <t>104817BEIGE250</t>
  </si>
  <si>
    <t>7500421579800</t>
  </si>
  <si>
    <t>ZAPATO MUJER CATALEYA 104817BEIGE</t>
  </si>
  <si>
    <t>2820242OROCLARO250</t>
  </si>
  <si>
    <t>4064195826070</t>
  </si>
  <si>
    <t>SANDALIA MUJER 2820242OROCLARO</t>
  </si>
  <si>
    <t>122701CAMEL240</t>
  </si>
  <si>
    <t>7500421644904</t>
  </si>
  <si>
    <t>SANDALIA MUJER BIRGIT 122701CAMEL</t>
  </si>
  <si>
    <t>BIRGIT</t>
  </si>
  <si>
    <t>413101NEGRO280</t>
  </si>
  <si>
    <t>7500421550984</t>
  </si>
  <si>
    <t>ZAPATO HOMBRE POTTERY  413101NEGRO</t>
  </si>
  <si>
    <t>POTTERY</t>
  </si>
  <si>
    <t>125613ROSA270</t>
  </si>
  <si>
    <t>7500421858653</t>
  </si>
  <si>
    <t>ZAPATILLA MUJER ASHLEY 125613ROSA</t>
  </si>
  <si>
    <t>ASHLEY</t>
  </si>
  <si>
    <t>127901NUDE270</t>
  </si>
  <si>
    <t>7500421634950</t>
  </si>
  <si>
    <t>409405TAN270</t>
  </si>
  <si>
    <t>7500421552049</t>
  </si>
  <si>
    <t>ZAPATO HOMBRE TITANIUM 409405TAN</t>
  </si>
  <si>
    <t>105305NEGRO250</t>
  </si>
  <si>
    <t>7500421462355</t>
  </si>
  <si>
    <t>MOCASIN MUJER YULI 105305NEGRO</t>
  </si>
  <si>
    <t>105305NEGRO240</t>
  </si>
  <si>
    <t>7500421462331</t>
  </si>
  <si>
    <t>409401TAN280</t>
  </si>
  <si>
    <t>7500421498866</t>
  </si>
  <si>
    <t>404606TAN270</t>
  </si>
  <si>
    <t>7500421515099</t>
  </si>
  <si>
    <t>BOTIN HOMBRE DINAMO 404606TAN</t>
  </si>
  <si>
    <t>DINAMO</t>
  </si>
  <si>
    <t>136604NEGRO240</t>
  </si>
  <si>
    <t>7500421962190</t>
  </si>
  <si>
    <t>ZAPATILLA MUJER HELINA 136604NEGRO</t>
  </si>
  <si>
    <t>HELINA</t>
  </si>
  <si>
    <t>122703CAFE260</t>
  </si>
  <si>
    <t>7500421543382</t>
  </si>
  <si>
    <t>SANDALIA MUJER BIRGIT 122703CAFE</t>
  </si>
  <si>
    <t>122703NEGRO260</t>
  </si>
  <si>
    <t>7500421539095</t>
  </si>
  <si>
    <t>SANDALIA MUJER BIRGIT 122703NEGRO</t>
  </si>
  <si>
    <t>104512BEIGE260</t>
  </si>
  <si>
    <t>7500421314586</t>
  </si>
  <si>
    <t>BOTIN MUJER IDRIS 104512BEIGE</t>
  </si>
  <si>
    <t>402518CHOCOLATE280</t>
  </si>
  <si>
    <t>7500421594575</t>
  </si>
  <si>
    <t>BOTIN HOMBRE GASLY 402518CHOCOLATE</t>
  </si>
  <si>
    <t>GASLY</t>
  </si>
  <si>
    <t>119705BEIGE260</t>
  </si>
  <si>
    <t>7500421315132</t>
  </si>
  <si>
    <t>ZAPATO MUJER MARIONE 119705BEIGE</t>
  </si>
  <si>
    <t>50807NEGRO270</t>
  </si>
  <si>
    <t>7500421313213</t>
  </si>
  <si>
    <t>SANDALIA HOMBRE SANTIAGO 50807NEGRO</t>
  </si>
  <si>
    <t>SANTIAGO</t>
  </si>
  <si>
    <t>113312CAFE230</t>
  </si>
  <si>
    <t>7500421536834</t>
  </si>
  <si>
    <t>122703NEGRO250</t>
  </si>
  <si>
    <t>7500421539071</t>
  </si>
  <si>
    <t>124903GRIS260</t>
  </si>
  <si>
    <t>7500421704769</t>
  </si>
  <si>
    <t>ZAPATILLA MUJER NAMI 124903GRIS</t>
  </si>
  <si>
    <t>NAMI</t>
  </si>
  <si>
    <t>413101SHEDRON290</t>
  </si>
  <si>
    <t>7500421551240</t>
  </si>
  <si>
    <t>ZAPATO HOMBRE POTTERY  413101SHEDRON</t>
  </si>
  <si>
    <t>110407NEGRO230</t>
  </si>
  <si>
    <t>7500421466711</t>
  </si>
  <si>
    <t>BOTIN MUJER RENATA 110407NEGRO</t>
  </si>
  <si>
    <t>RENATA</t>
  </si>
  <si>
    <t>116009TERRACOTA270</t>
  </si>
  <si>
    <t>7500421538012</t>
  </si>
  <si>
    <t>SANDALIA MUJER AMAPOLA 116009TERRACOTA</t>
  </si>
  <si>
    <t>134801AZUL230</t>
  </si>
  <si>
    <t>7500421867488</t>
  </si>
  <si>
    <t>ZAPATO MUJER FENJI 134801AZUL</t>
  </si>
  <si>
    <t>FENJI</t>
  </si>
  <si>
    <t>116804BEIGE220</t>
  </si>
  <si>
    <t>7500421495155</t>
  </si>
  <si>
    <t>BOTIN MUJER LILITH 116804BEIGE</t>
  </si>
  <si>
    <t>50807TAN270</t>
  </si>
  <si>
    <t>7500421316603</t>
  </si>
  <si>
    <t>SANDALIA HOMBRE SANTIAGO 50807TAN</t>
  </si>
  <si>
    <t>409405NEGRO280</t>
  </si>
  <si>
    <t>7500421551943</t>
  </si>
  <si>
    <t>ZAPATO HOMBRE TITANIUM 409405NEGRO</t>
  </si>
  <si>
    <t>415306NEGRO270</t>
  </si>
  <si>
    <t>7500421857229</t>
  </si>
  <si>
    <t>ZAPATILLA HOMBRE FRASER 415306NEGRO</t>
  </si>
  <si>
    <t>FRASER</t>
  </si>
  <si>
    <t>418901HUESO280</t>
  </si>
  <si>
    <t>7500421775899</t>
  </si>
  <si>
    <t>ZAPATILLA HOMBRE COLBY 418901HUESO</t>
  </si>
  <si>
    <t>COLBY</t>
  </si>
  <si>
    <t>135202NEGRO270</t>
  </si>
  <si>
    <t>7500421925867</t>
  </si>
  <si>
    <t>ZAPATILLA MUJER BRERA 135202NEGRO</t>
  </si>
  <si>
    <t>BRERA</t>
  </si>
  <si>
    <t>116009TAN260</t>
  </si>
  <si>
    <t>7500421639207</t>
  </si>
  <si>
    <t>SANDALIA MUJER AMAPOLA 116009TAN</t>
  </si>
  <si>
    <t>124501VINO270</t>
  </si>
  <si>
    <t>7500421565780</t>
  </si>
  <si>
    <t>ZAPATO MUJER JENELLE 124501VINO</t>
  </si>
  <si>
    <t>JENELLE</t>
  </si>
  <si>
    <t>138502MARINO260</t>
  </si>
  <si>
    <t>7500277062105</t>
  </si>
  <si>
    <t>ZAPATILLA MUJER NAOKI 138502MARINO</t>
  </si>
  <si>
    <t>NAOKI</t>
  </si>
  <si>
    <t>119704NEGRO230</t>
  </si>
  <si>
    <t>7500421544754</t>
  </si>
  <si>
    <t>ZAPATO MUJER MARIONE 119704NEGRO</t>
  </si>
  <si>
    <t>137503NEGRO240</t>
  </si>
  <si>
    <t>7500421963326</t>
  </si>
  <si>
    <t>127702TAN220</t>
  </si>
  <si>
    <t>7500421634516</t>
  </si>
  <si>
    <t>119302TAN260</t>
  </si>
  <si>
    <t>7500421528396</t>
  </si>
  <si>
    <t>ZAPATILLA MUJER ROSAURA 119302TAN</t>
  </si>
  <si>
    <t>116316CARMIN230</t>
  </si>
  <si>
    <t>7500421838341</t>
  </si>
  <si>
    <t>BALLERINA MUJER MARIE 116316CARMIN</t>
  </si>
  <si>
    <t>409405TAN280</t>
  </si>
  <si>
    <t>7500421552063</t>
  </si>
  <si>
    <t>133601ROJO250</t>
  </si>
  <si>
    <t>7500421852736</t>
  </si>
  <si>
    <t>SANDALIA MUJER CATERINA 133601ROJO</t>
  </si>
  <si>
    <t>417501GRIS280</t>
  </si>
  <si>
    <t>7500421702765</t>
  </si>
  <si>
    <t>135202ROSA260</t>
  </si>
  <si>
    <t>7500421925959</t>
  </si>
  <si>
    <t>ZAPATILLA MUJER BRERA 135202ROSA</t>
  </si>
  <si>
    <t>127604NEGRO230</t>
  </si>
  <si>
    <t>7500421618639</t>
  </si>
  <si>
    <t>SANDALIA MUJER RORAIMA 127604NEGRO</t>
  </si>
  <si>
    <t>127201NEGRO250</t>
  </si>
  <si>
    <t>7500421610145</t>
  </si>
  <si>
    <t>ZAPATO MUJER MACKENZIE 127201NEGRO</t>
  </si>
  <si>
    <t>MACKENZIE</t>
  </si>
  <si>
    <t>127602NUDE260</t>
  </si>
  <si>
    <t>7500421633274</t>
  </si>
  <si>
    <t>SANDALIA MUJER RORAIMA 127602NUDE</t>
  </si>
  <si>
    <t>116009TAN230</t>
  </si>
  <si>
    <t>7500421639146</t>
  </si>
  <si>
    <t>119302ORO230</t>
  </si>
  <si>
    <t>7500421528228</t>
  </si>
  <si>
    <t>ZAPATILLA MUJER ROSAURA 119302ORO</t>
  </si>
  <si>
    <t>127703ORO260</t>
  </si>
  <si>
    <t>7500421634370</t>
  </si>
  <si>
    <t>138502VINO230</t>
  </si>
  <si>
    <t>7500421987902</t>
  </si>
  <si>
    <t>ZAPATILLA MUJER NAOKI 138502VINO</t>
  </si>
  <si>
    <t>106414NUDE260</t>
  </si>
  <si>
    <t>7500421650790</t>
  </si>
  <si>
    <t>SANDALIA MUJER CELINE 106414NUDE</t>
  </si>
  <si>
    <t>CELINE</t>
  </si>
  <si>
    <t>123001BLANCO260</t>
  </si>
  <si>
    <t>7500421539866</t>
  </si>
  <si>
    <t>SANDALIA MUJER KADEISHA 123001BLANCO</t>
  </si>
  <si>
    <t>410904NEGRO270</t>
  </si>
  <si>
    <t>7500421582572</t>
  </si>
  <si>
    <t>BOTIN HOMBRE KLIMBER 410904NEGRO</t>
  </si>
  <si>
    <t>KLIMBER</t>
  </si>
  <si>
    <t>101908CAFE240</t>
  </si>
  <si>
    <t>7500421486283</t>
  </si>
  <si>
    <t>130801NEGRO250</t>
  </si>
  <si>
    <t>7500421743881</t>
  </si>
  <si>
    <t>BALLERINA MUJER RIHANNA 130801NEGRO</t>
  </si>
  <si>
    <t>RIHANNA</t>
  </si>
  <si>
    <t>119704NEGRO260</t>
  </si>
  <si>
    <t>7500421544815</t>
  </si>
  <si>
    <t>48303BLANCO270</t>
  </si>
  <si>
    <t>7500421404058</t>
  </si>
  <si>
    <t>ZAPATO MUJER OFELIA 48303BLANCO</t>
  </si>
  <si>
    <t>OFELIA</t>
  </si>
  <si>
    <t>418201TAN300</t>
  </si>
  <si>
    <t>7500421761021</t>
  </si>
  <si>
    <t>MOCASIN HOMBRE MCCARTHY 418201TAN</t>
  </si>
  <si>
    <t>MCCARTHY</t>
  </si>
  <si>
    <t>130801AVENA230</t>
  </si>
  <si>
    <t>7500421752630</t>
  </si>
  <si>
    <t>BALLERINA MUJER RIHANNA 130801AVENA</t>
  </si>
  <si>
    <t>101905NEGRO270</t>
  </si>
  <si>
    <t>7500421453834</t>
  </si>
  <si>
    <t>ZAPATO MUJER AMELIE 101905NEGRO</t>
  </si>
  <si>
    <t>45227NEGRO230</t>
  </si>
  <si>
    <t>7500421530757</t>
  </si>
  <si>
    <t>BOTIN MUJER YULISA 45227NEGRO</t>
  </si>
  <si>
    <t>119709DARKTAN220</t>
  </si>
  <si>
    <t>7500421751510</t>
  </si>
  <si>
    <t>BOTIN MUJER MARIONE 119709DARKTAN</t>
  </si>
  <si>
    <t>37822NEGRO250</t>
  </si>
  <si>
    <t>7500421749937</t>
  </si>
  <si>
    <t>BOTIN MUJER ALDARA 37822NEGRO</t>
  </si>
  <si>
    <t>ALDARA</t>
  </si>
  <si>
    <t>122903CAMEL230</t>
  </si>
  <si>
    <t>7500421539477</t>
  </si>
  <si>
    <t>SANDALIA MUJER DEYNA 122903CAMEL</t>
  </si>
  <si>
    <t>DEYNA</t>
  </si>
  <si>
    <t>107701ORO230</t>
  </si>
  <si>
    <t>7500421554739</t>
  </si>
  <si>
    <t>ZAPATILLA MUJER CANOLI 107701ORO</t>
  </si>
  <si>
    <t>CANOLI</t>
  </si>
  <si>
    <t>113324TAN250</t>
  </si>
  <si>
    <t>7500421812464</t>
  </si>
  <si>
    <t>SANDALIA MUJER EMILY 113324TAN</t>
  </si>
  <si>
    <t>135302TAN260</t>
  </si>
  <si>
    <t>7500421883853</t>
  </si>
  <si>
    <t>SANDALIA MUJER STEPHANY 135302TAN</t>
  </si>
  <si>
    <t>400026CAOBA280</t>
  </si>
  <si>
    <t>7500421632413</t>
  </si>
  <si>
    <t>SANDALIA HOMBRE ODIN 400026CAOBA</t>
  </si>
  <si>
    <t>132201LATTE230</t>
  </si>
  <si>
    <t>7500421775417</t>
  </si>
  <si>
    <t>ZAPATILLA MUJER BRISEA 132201LATTE</t>
  </si>
  <si>
    <t>118910NEGRO230</t>
  </si>
  <si>
    <t>7500421600894</t>
  </si>
  <si>
    <t>BOTIN MUJER FLAVIA 118910NEGRO</t>
  </si>
  <si>
    <t>FLAVIA</t>
  </si>
  <si>
    <t>2820442OROCLARO240</t>
  </si>
  <si>
    <t>4064195810918</t>
  </si>
  <si>
    <t>SANDALIA MUJER 2820442OROCLARO</t>
  </si>
  <si>
    <t>2374643CAMELCOMB265</t>
  </si>
  <si>
    <t>4064199558618</t>
  </si>
  <si>
    <t>ZAPATILLA MUJER 2374643CAMELCOMB</t>
  </si>
  <si>
    <t>134401ALGODON260</t>
  </si>
  <si>
    <t>7500421875926</t>
  </si>
  <si>
    <t>SANDALIA MUJER KATNIS 134401ALGODON</t>
  </si>
  <si>
    <t>KATNIS</t>
  </si>
  <si>
    <t>109219NEGRO260</t>
  </si>
  <si>
    <t>7500421608845</t>
  </si>
  <si>
    <t>BOTIN MUJER IZA 109219NEGRO</t>
  </si>
  <si>
    <t>37821ARENA250</t>
  </si>
  <si>
    <t>7500421707630</t>
  </si>
  <si>
    <t>BOTIN MUJER ALDARA 37821ARENA</t>
  </si>
  <si>
    <t>119903ALGODON235</t>
  </si>
  <si>
    <t>7500421564882</t>
  </si>
  <si>
    <t>MOCASIN MUJER KIRSTEN 119903ALGODON</t>
  </si>
  <si>
    <t>116310BLANCO240</t>
  </si>
  <si>
    <t>7500421669754</t>
  </si>
  <si>
    <t>BALLERINA MUJER MARIE 116310BLANCO</t>
  </si>
  <si>
    <t>126602TAUPE230</t>
  </si>
  <si>
    <t>7500421315620</t>
  </si>
  <si>
    <t>MOCASIN MUJER HAYEK 126602TAUPE</t>
  </si>
  <si>
    <t>411902ARENA280</t>
  </si>
  <si>
    <t>7500421520925</t>
  </si>
  <si>
    <t>ZAPATILLA HOMBRE PHELPS 411902ARENA</t>
  </si>
  <si>
    <t>PHELPS</t>
  </si>
  <si>
    <t>126602NEGRO250</t>
  </si>
  <si>
    <t>7500421315880</t>
  </si>
  <si>
    <t>125403PERLA250</t>
  </si>
  <si>
    <t>7500421566510</t>
  </si>
  <si>
    <t>ZAPATILLA MUJER LINA 125403PERLA</t>
  </si>
  <si>
    <t>413014CHOCOLATE250</t>
  </si>
  <si>
    <t>7500421696101</t>
  </si>
  <si>
    <t>ZAPATILLA HOMBRE HIKA 413014CHOCOLATE</t>
  </si>
  <si>
    <t>126606NEGRO260</t>
  </si>
  <si>
    <t>7500421744659</t>
  </si>
  <si>
    <t>MOCASIN MUJER HAYEK 126606NEGRO</t>
  </si>
  <si>
    <t>105305NEGRO220</t>
  </si>
  <si>
    <t>7500421462294</t>
  </si>
  <si>
    <t>133603TAN250</t>
  </si>
  <si>
    <t>7500421855935</t>
  </si>
  <si>
    <t>SANDALIA MUJER CATERINA 133603TAN</t>
  </si>
  <si>
    <t>116009TERRACOTA230</t>
  </si>
  <si>
    <t>7500421537930</t>
  </si>
  <si>
    <t>406901VINO250</t>
  </si>
  <si>
    <t>7500421437773</t>
  </si>
  <si>
    <t>ZAPATILLA HOMBRE FIJI 406901VINO</t>
  </si>
  <si>
    <t>FIJI</t>
  </si>
  <si>
    <t>400020NEGRO250</t>
  </si>
  <si>
    <t>7500421552926</t>
  </si>
  <si>
    <t>SANDALIA HOMBRE ODIN 400020NEGRO</t>
  </si>
  <si>
    <t>400114NEGRO270</t>
  </si>
  <si>
    <t>7500421586310</t>
  </si>
  <si>
    <t>BOTIN HOMBRE PARKER 400114NEGRO</t>
  </si>
  <si>
    <t>PARKER</t>
  </si>
  <si>
    <t>29/04/2026</t>
  </si>
  <si>
    <t>129402ROSA250</t>
  </si>
  <si>
    <t>7500421700679</t>
  </si>
  <si>
    <t>SANDALIA MUJER FRAGA 129402ROSA</t>
  </si>
  <si>
    <t>FRAGA</t>
  </si>
  <si>
    <t>113313AZUL240</t>
  </si>
  <si>
    <t>7500421537183</t>
  </si>
  <si>
    <t>SANDALIA MUJER EMILY 113313AZUL</t>
  </si>
  <si>
    <t>130602NEGRO230</t>
  </si>
  <si>
    <t>7500421738726</t>
  </si>
  <si>
    <t>BOOTIE MUJER MARIELA 130602NEGRO</t>
  </si>
  <si>
    <t>MARIELA</t>
  </si>
  <si>
    <t>106414NUDE240</t>
  </si>
  <si>
    <t>7500421650752</t>
  </si>
  <si>
    <t>100228NEGRO230</t>
  </si>
  <si>
    <t>7500421682210</t>
  </si>
  <si>
    <t>SANDALIA MUJER PEONIA 100228NEGRO</t>
  </si>
  <si>
    <t>404604SHEDRON280</t>
  </si>
  <si>
    <t>7500421426432</t>
  </si>
  <si>
    <t>BOTIN HOMBRE DINAMO 404604SHEDRON</t>
  </si>
  <si>
    <t>412306NEGRO300</t>
  </si>
  <si>
    <t>7500421275986</t>
  </si>
  <si>
    <t>BOTIN HOMBRE POLARA 412306NEGRO</t>
  </si>
  <si>
    <t>POLARA</t>
  </si>
  <si>
    <t>123001BLANCO220</t>
  </si>
  <si>
    <t>7500421539781</t>
  </si>
  <si>
    <t>123716PETALOS250</t>
  </si>
  <si>
    <t>7500421814994</t>
  </si>
  <si>
    <t>SANDALIA MUJER ZURA 123716PETALOS</t>
  </si>
  <si>
    <t>118902MAQUILLAJE250</t>
  </si>
  <si>
    <t>7500421544020</t>
  </si>
  <si>
    <t>ZAPATO MUJER FLAVIA 118902MAQUILLAJE</t>
  </si>
  <si>
    <t>100214CAFE220</t>
  </si>
  <si>
    <t>7500421490532</t>
  </si>
  <si>
    <t>48301NEGRO220</t>
  </si>
  <si>
    <t>7501153647515</t>
  </si>
  <si>
    <t>ZAPATO MUJER OFELIA 48301NEGRO</t>
  </si>
  <si>
    <t>404601TAN290</t>
  </si>
  <si>
    <t>7500421426210</t>
  </si>
  <si>
    <t>ZAPATO HOMBRE DINAMO 404601TAN</t>
  </si>
  <si>
    <t>129604NEGRO220</t>
  </si>
  <si>
    <t>7500421740224</t>
  </si>
  <si>
    <t>BOTIN MUJER VIANA 129604NEGRO</t>
  </si>
  <si>
    <t>VIANA</t>
  </si>
  <si>
    <t>104817NEGRO250</t>
  </si>
  <si>
    <t>7500421563076</t>
  </si>
  <si>
    <t>ZAPATO MUJER CATALEYA 104817NEGRO</t>
  </si>
  <si>
    <t>407801NEGRO290</t>
  </si>
  <si>
    <t>7500421434284</t>
  </si>
  <si>
    <t>116009NEGRO230</t>
  </si>
  <si>
    <t>7500421537718</t>
  </si>
  <si>
    <t>SANDALIA MUJER AMAPOLA 116009NEGRO</t>
  </si>
  <si>
    <t>126706ORO230</t>
  </si>
  <si>
    <t>7500421688946</t>
  </si>
  <si>
    <t>124302BLANCO250</t>
  </si>
  <si>
    <t>7500421554999</t>
  </si>
  <si>
    <t>MOCASIN MUJER PAMELA 124302BLANCO</t>
  </si>
  <si>
    <t>118702TAUPE240</t>
  </si>
  <si>
    <t>7500421510810</t>
  </si>
  <si>
    <t>ZAPATO MUJER CAMPBELL 118702TAUPE</t>
  </si>
  <si>
    <t>CAMPBELL</t>
  </si>
  <si>
    <t>134401ALGODON220</t>
  </si>
  <si>
    <t>7500421875841</t>
  </si>
  <si>
    <t>109220NEGRO220</t>
  </si>
  <si>
    <t>7500421608876</t>
  </si>
  <si>
    <t>BOTIN MUJER IZA 109220NEGRO</t>
  </si>
  <si>
    <t>118902VINO250</t>
  </si>
  <si>
    <t>7500421526613</t>
  </si>
  <si>
    <t>ZAPATO MUJER FLAVIA 118902VINO</t>
  </si>
  <si>
    <t>122902CAFE220</t>
  </si>
  <si>
    <t>7500421539347</t>
  </si>
  <si>
    <t>SANDALIA MUJER DEYNA 122902CAFE</t>
  </si>
  <si>
    <t>124904AZUL230</t>
  </si>
  <si>
    <t>7500421750001</t>
  </si>
  <si>
    <t>ZAPATILLA MUJER NAMI 124904AZUL</t>
  </si>
  <si>
    <t>124801GRIS260</t>
  </si>
  <si>
    <t>7500421548110</t>
  </si>
  <si>
    <t>ZAPATILLA MUJER DANNA 124801GRIS</t>
  </si>
  <si>
    <t>45231NEGRO240</t>
  </si>
  <si>
    <t>7500421591307</t>
  </si>
  <si>
    <t>BOTA MUJER YULISA 45231NEGRO</t>
  </si>
  <si>
    <t>412802SHEDRON280</t>
  </si>
  <si>
    <t>7500421542521</t>
  </si>
  <si>
    <t>402521NEGRO290</t>
  </si>
  <si>
    <t>7500421754177</t>
  </si>
  <si>
    <t>BOTIN HOMBRE GASLY 402521NEGRO</t>
  </si>
  <si>
    <t>410904NEGRO290</t>
  </si>
  <si>
    <t>7500421582619</t>
  </si>
  <si>
    <t>128506BLANCO230</t>
  </si>
  <si>
    <t>7500421690765</t>
  </si>
  <si>
    <t>SANDALIA MUJER LEXA 128506BLANCO</t>
  </si>
  <si>
    <t>LEXA</t>
  </si>
  <si>
    <t>109219SHEDRON220</t>
  </si>
  <si>
    <t>7500421574461</t>
  </si>
  <si>
    <t>BOTIN MUJER IZA 109219SHEDRON</t>
  </si>
  <si>
    <t>412306NEGRO280</t>
  </si>
  <si>
    <t>7500421275948</t>
  </si>
  <si>
    <t>130302NEGRO250</t>
  </si>
  <si>
    <t>7500421736265</t>
  </si>
  <si>
    <t>BOTIN MUJER ISBELLE 130302NEGRO</t>
  </si>
  <si>
    <t>ISBELLE</t>
  </si>
  <si>
    <t>123703NEGRO220</t>
  </si>
  <si>
    <t>7500421541548</t>
  </si>
  <si>
    <t>SANDALIA MUJER ZURA 123703NEGRO</t>
  </si>
  <si>
    <t>45231TAN220</t>
  </si>
  <si>
    <t>7500421314944</t>
  </si>
  <si>
    <t>BOTA MUJER YULISA 45231TAN</t>
  </si>
  <si>
    <t>119704NUDE230</t>
  </si>
  <si>
    <t>7500421544860</t>
  </si>
  <si>
    <t>ZAPATO MUJER MARIONE 119704NUDE</t>
  </si>
  <si>
    <t>130401NEGRO260</t>
  </si>
  <si>
    <t>7500421737798</t>
  </si>
  <si>
    <t>ZAPATO MUJER AREL 130401NEGRO</t>
  </si>
  <si>
    <t>AREL</t>
  </si>
  <si>
    <t>126601HUESO220</t>
  </si>
  <si>
    <t>7500421603864</t>
  </si>
  <si>
    <t>MOCASIN MUJER HAYEK 126601HUESO</t>
  </si>
  <si>
    <t>128702NEGRO260</t>
  </si>
  <si>
    <t>7500421691373</t>
  </si>
  <si>
    <t>ZAPATO MUJER ACAI 128702NEGRO</t>
  </si>
  <si>
    <t>ACAI</t>
  </si>
  <si>
    <t>124802NEGRO250</t>
  </si>
  <si>
    <t>7500421555545</t>
  </si>
  <si>
    <t>ZAPATILLA MUJER DANNA 124802NEGRO</t>
  </si>
  <si>
    <t>134503NEGRO240</t>
  </si>
  <si>
    <t>7500421863923</t>
  </si>
  <si>
    <t>ZAPATILLA MUJER MILAN 134503NEGRO</t>
  </si>
  <si>
    <t>MILAN</t>
  </si>
  <si>
    <t>126911NEGRO250</t>
  </si>
  <si>
    <t>7500421757956</t>
  </si>
  <si>
    <t>BOTIN MUJER ZENOBIA 126911NEGRO</t>
  </si>
  <si>
    <t>ZENOBIA</t>
  </si>
  <si>
    <t>134503NEGRO230</t>
  </si>
  <si>
    <t>7500421863909</t>
  </si>
  <si>
    <t>400020NOGAL280</t>
  </si>
  <si>
    <t>7500421552872</t>
  </si>
  <si>
    <t>SANDALIA HOMBRE ODIN 400020NOGAL</t>
  </si>
  <si>
    <t>119903NEGRO230</t>
  </si>
  <si>
    <t>7500421593639</t>
  </si>
  <si>
    <t>104809NEGRO240</t>
  </si>
  <si>
    <t>7500421461891</t>
  </si>
  <si>
    <t>ZAPATO MUJER CATALEYA 104809NEGRO</t>
  </si>
  <si>
    <t>118902VINO240</t>
  </si>
  <si>
    <t>7500421526590</t>
  </si>
  <si>
    <t>130402NEGRO260</t>
  </si>
  <si>
    <t>7500421738016</t>
  </si>
  <si>
    <t>ZAPATO MUJER AREL 130402NEGRO</t>
  </si>
  <si>
    <t>412801NEGRO290</t>
  </si>
  <si>
    <t>7500421542422</t>
  </si>
  <si>
    <t>ZAPATO HOMBRE OKAN 412801NEGRO</t>
  </si>
  <si>
    <t>129604ARENA240</t>
  </si>
  <si>
    <t>7500421746479</t>
  </si>
  <si>
    <t>BOTIN MUJER VIANA 129604ARENA</t>
  </si>
  <si>
    <t>118908TAN250</t>
  </si>
  <si>
    <t>7500421703281</t>
  </si>
  <si>
    <t>ZAPATO MUJER FLAVIA 118908TAN</t>
  </si>
  <si>
    <t>119704NEGRO240</t>
  </si>
  <si>
    <t>7500421544778</t>
  </si>
  <si>
    <t>127201WHISKY230</t>
  </si>
  <si>
    <t>7500421605820</t>
  </si>
  <si>
    <t>ZAPATO MUJER MACKENZIE 127201WHISKY</t>
  </si>
  <si>
    <t>409405TAN250</t>
  </si>
  <si>
    <t>7500421552001</t>
  </si>
  <si>
    <t>403604MARINO280</t>
  </si>
  <si>
    <t>7500421435816</t>
  </si>
  <si>
    <t>MOCASIN HOMBRE YAUNDE 403604MARINO</t>
  </si>
  <si>
    <t>YAUNDE</t>
  </si>
  <si>
    <t>119701NEGRO250</t>
  </si>
  <si>
    <t>7500421511497</t>
  </si>
  <si>
    <t>123702NEGRO250</t>
  </si>
  <si>
    <t>7500421541272</t>
  </si>
  <si>
    <t>SANDALIA MUJER ZURA 123702NEGRO</t>
  </si>
  <si>
    <t>125403PERLA240</t>
  </si>
  <si>
    <t>7500421566497</t>
  </si>
  <si>
    <t>48303BLANCO230</t>
  </si>
  <si>
    <t>7500421403976</t>
  </si>
  <si>
    <t>119303DORADO230</t>
  </si>
  <si>
    <t>7500421765937</t>
  </si>
  <si>
    <t>119509NEGRO270</t>
  </si>
  <si>
    <t>7500421575116</t>
  </si>
  <si>
    <t>ZAPATO MUJER NEISI 119509NEGRO</t>
  </si>
  <si>
    <t>NEISI</t>
  </si>
  <si>
    <t>135202NEGRO250</t>
  </si>
  <si>
    <t>7500421925829</t>
  </si>
  <si>
    <t>120201NEGRO270</t>
  </si>
  <si>
    <t>7500421511862</t>
  </si>
  <si>
    <t>ZAPATILLA MUJER NIKIA 120201NEGRO</t>
  </si>
  <si>
    <t>NIKIA</t>
  </si>
  <si>
    <t>409903NEGRO280</t>
  </si>
  <si>
    <t>7500421498170</t>
  </si>
  <si>
    <t>ZAPATO HOMBRE RIDER 409903NEGRO</t>
  </si>
  <si>
    <t>21202NEGRO220</t>
  </si>
  <si>
    <t>7506296161911</t>
  </si>
  <si>
    <t>BALLERINA MUJER DAFNE 21202NEGRO</t>
  </si>
  <si>
    <t>DAFNE</t>
  </si>
  <si>
    <t>21222NEGRO250</t>
  </si>
  <si>
    <t>7500421581278</t>
  </si>
  <si>
    <t>BALLERINA MUJER DAFNE 21222NEGRO</t>
  </si>
  <si>
    <t>138501NEGRO230</t>
  </si>
  <si>
    <t>7500421985953</t>
  </si>
  <si>
    <t>ZAPATILLA MUJER NAOKI 138501NEGRO</t>
  </si>
  <si>
    <t>30/04/2026</t>
  </si>
  <si>
    <t>404604SHEDRON300</t>
  </si>
  <si>
    <t>7500421426470</t>
  </si>
  <si>
    <t>417705NEGRO280</t>
  </si>
  <si>
    <t>7500421760543</t>
  </si>
  <si>
    <t>BOTIN HOMBRE RENAN 417705NEGRO</t>
  </si>
  <si>
    <t>RENAN</t>
  </si>
  <si>
    <t>402518NEGRO270</t>
  </si>
  <si>
    <t>7500421577974</t>
  </si>
  <si>
    <t>BOTIN HOMBRE GASLY 402518NEGRO</t>
  </si>
  <si>
    <t>130403DARKTAN260</t>
  </si>
  <si>
    <t>7500421737682</t>
  </si>
  <si>
    <t>BOTIN MUJER AREL 130403DARKTAN</t>
  </si>
  <si>
    <t>119706VINO230</t>
  </si>
  <si>
    <t>7500421575703</t>
  </si>
  <si>
    <t>BOTIN MUJER MARIONE 119706VINO</t>
  </si>
  <si>
    <t>418502NEGRO280</t>
  </si>
  <si>
    <t>7500421768433</t>
  </si>
  <si>
    <t>BOTIN HOMBRE AMENDOLA 418502NEGRO</t>
  </si>
  <si>
    <t>AMENDOLA</t>
  </si>
  <si>
    <t>104501ESCAMANEGRO245</t>
  </si>
  <si>
    <t>7500421847107</t>
  </si>
  <si>
    <t>ZAPATO MUJER IDRIS 104501ESCAMANEGRO</t>
  </si>
  <si>
    <t>119303DORADO260</t>
  </si>
  <si>
    <t>7500421765999</t>
  </si>
  <si>
    <t>402516TAN270</t>
  </si>
  <si>
    <t>7500421578094</t>
  </si>
  <si>
    <t>BOTIN HOMBRE GASLY 402516TAN</t>
  </si>
  <si>
    <t>45235NEGRO240</t>
  </si>
  <si>
    <t>7500421765517</t>
  </si>
  <si>
    <t>BOTIN MUJER YULISA 45235NEGRO</t>
  </si>
  <si>
    <t>48330NEGRO240</t>
  </si>
  <si>
    <t>7500421468050</t>
  </si>
  <si>
    <t>BOTIN MUJER OFELIA 48330NEGRO</t>
  </si>
  <si>
    <t>45232NEGRO230</t>
  </si>
  <si>
    <t>7500421575482</t>
  </si>
  <si>
    <t>BOTIN MUJER YULISA 45232NEGRO</t>
  </si>
  <si>
    <t>406102NEGRO290</t>
  </si>
  <si>
    <t>7500421471739</t>
  </si>
  <si>
    <t>BOTIN HOMBRE ODYSSEY 406102NEGRO</t>
  </si>
  <si>
    <t>ODYSSEY</t>
  </si>
  <si>
    <t>126606NEGRO250</t>
  </si>
  <si>
    <t>7500421744635</t>
  </si>
  <si>
    <t>104519NEGRO250</t>
  </si>
  <si>
    <t>7500421845905</t>
  </si>
  <si>
    <t>ZAPATO MUJER IDRIS 104519NEGRO</t>
  </si>
  <si>
    <t>412405NEGRO270</t>
  </si>
  <si>
    <t>7500421584897</t>
  </si>
  <si>
    <t>BOTIN HOMBRE CRETA 412405NEGRO</t>
  </si>
  <si>
    <t>CRETA</t>
  </si>
  <si>
    <t>128403TAN240</t>
  </si>
  <si>
    <t>7500421689974</t>
  </si>
  <si>
    <t>SANDALIA MUJER ITACARE 128403TAN</t>
  </si>
  <si>
    <t>ITACARE</t>
  </si>
  <si>
    <t>123703NEGRO230</t>
  </si>
  <si>
    <t>7500421541562</t>
  </si>
  <si>
    <t>102003BLANCO240</t>
  </si>
  <si>
    <t>7500421547304</t>
  </si>
  <si>
    <t>ZAPATILLA MUJER TRAVIATA 102003BLANCO</t>
  </si>
  <si>
    <t>104519ROJO240</t>
  </si>
  <si>
    <t>7500421845660</t>
  </si>
  <si>
    <t>ZAPATO MUJER IDRIS 104519ROJO</t>
  </si>
  <si>
    <t>104814CAFE260</t>
  </si>
  <si>
    <t>7500421595053</t>
  </si>
  <si>
    <t>BOTIN MUJER CATALEYA 104814CAFE</t>
  </si>
  <si>
    <t>104519NUDE260</t>
  </si>
  <si>
    <t>7500421845813</t>
  </si>
  <si>
    <t>ZAPATO MUJER IDRIS 104519NUDE</t>
  </si>
  <si>
    <t>116014NEGRO240</t>
  </si>
  <si>
    <t>7500421625842</t>
  </si>
  <si>
    <t>SANDALIA MUJER AMAPOLA 116014NEGRO</t>
  </si>
  <si>
    <t>124401ALGODON240</t>
  </si>
  <si>
    <t>7500421670415</t>
  </si>
  <si>
    <t>ZAPATO MUJER PIPA 124401ALGODON</t>
  </si>
  <si>
    <t>118702AZUL240</t>
  </si>
  <si>
    <t>7500421518533</t>
  </si>
  <si>
    <t>ZAPATO MUJER CAMPBELL 118702AZUL</t>
  </si>
  <si>
    <t>107701ORO220</t>
  </si>
  <si>
    <t>7500421554715</t>
  </si>
  <si>
    <t>119702MARINO245</t>
  </si>
  <si>
    <t>7500421532218</t>
  </si>
  <si>
    <t>ZAPATO MUJER MARIONE 119702MARINO</t>
  </si>
  <si>
    <t>414907CAFE280</t>
  </si>
  <si>
    <t>7500421658130</t>
  </si>
  <si>
    <t>ZAPATO HOMBRE ROOK 414907CAFE</t>
  </si>
  <si>
    <t>ROOK</t>
  </si>
  <si>
    <t>109219SHEDRON240</t>
  </si>
  <si>
    <t>7500421574508</t>
  </si>
  <si>
    <t>104518NEGRO230</t>
  </si>
  <si>
    <t>7500421730331</t>
  </si>
  <si>
    <t>101908NEGRO260</t>
  </si>
  <si>
    <t>7500421493366</t>
  </si>
  <si>
    <t>ZAPATO MUJER AMELIE 101908NEGRO</t>
  </si>
  <si>
    <t>128706ANTIMONIO270</t>
  </si>
  <si>
    <t>7500421810187</t>
  </si>
  <si>
    <t>ZAPATO MUJER ACAI 128706ANTIMONIO</t>
  </si>
  <si>
    <t>127202BEIGE240</t>
  </si>
  <si>
    <t>7500421731147</t>
  </si>
  <si>
    <t>ZAPATO MUJER MACKENZIE 127202BEIGE</t>
  </si>
  <si>
    <t>415308NEGRO280</t>
  </si>
  <si>
    <t>7500421929445</t>
  </si>
  <si>
    <t>ZAPATILLA HOMBRE FRASER 415308NEGRO</t>
  </si>
  <si>
    <t>2372043NEGROORO265</t>
  </si>
  <si>
    <t>4064198287670</t>
  </si>
  <si>
    <t>ZAPATILLA MUJER 2372043NEGROORO</t>
  </si>
  <si>
    <t>119705BEIGE230</t>
  </si>
  <si>
    <t>7500421315071</t>
  </si>
  <si>
    <t>104505NUDE260</t>
  </si>
  <si>
    <t>7500421544266</t>
  </si>
  <si>
    <t>ZAPATO MUJER IDRIS 104505NUDE</t>
  </si>
  <si>
    <t>37822NEGRO260</t>
  </si>
  <si>
    <t>7500421749951</t>
  </si>
  <si>
    <t>415301BROWN260</t>
  </si>
  <si>
    <t>7500421277584</t>
  </si>
  <si>
    <t>ZAPATILLA HOMBRE FRASER 415301BROWN</t>
  </si>
  <si>
    <t>123004NEGRO260</t>
  </si>
  <si>
    <t>7500421540084</t>
  </si>
  <si>
    <t>SANDALIA MUJER KADEISHA 123004NEGRO</t>
  </si>
  <si>
    <t>416102SHEDRON250</t>
  </si>
  <si>
    <t>7500421222287</t>
  </si>
  <si>
    <t>21222NEGRO230</t>
  </si>
  <si>
    <t>7500421581230</t>
  </si>
  <si>
    <t>21222NEGRO240</t>
  </si>
  <si>
    <t>7500421581254</t>
  </si>
  <si>
    <t>130102NEGRO250</t>
  </si>
  <si>
    <t>7500421751688</t>
  </si>
  <si>
    <t>BOTIN MUJER FRANCIS 130102NEGRO</t>
  </si>
  <si>
    <t>FRANCIS</t>
  </si>
  <si>
    <t>NETO</t>
  </si>
  <si>
    <t>COSTO</t>
  </si>
  <si>
    <t>MARGEN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</si>
</sst>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3" fontId="0" fillId="0" borderId="0" xfId="0" applyNumberFormat="1"/>
    <xf numFmtId="0" fontId="1" fillId="3" borderId="1" xfId="0" applyFont="1" applyFill="1" applyBorder="1"/>
    <xf numFmtId="164" fontId="0" fillId="0" borderId="0" xfId="0" applyNumberFormat="1"/>
    <xf numFmtId="164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D392-08DF-48B4-A0D8-EBD09CA00E9D}">
  <dimension ref="A2:S332"/>
  <sheetViews>
    <sheetView showGridLines="0" tabSelected="1" zoomScale="75" zoomScaleNormal="75" workbookViewId="0">
      <pane ySplit="3" topLeftCell="A4" activePane="bottomLeft" state="frozen"/>
      <selection pane="bottomLeft" activeCell="Q2" sqref="Q2:S2"/>
    </sheetView>
  </sheetViews>
  <sheetFormatPr baseColWidth="10" defaultRowHeight="14" x14ac:dyDescent="0.3"/>
  <cols>
    <col min="17" max="17" width="12.09765625" style="4" bestFit="1" customWidth="1"/>
    <col min="18" max="19" width="11.59765625" style="4"/>
  </cols>
  <sheetData>
    <row r="2" spans="1:19" x14ac:dyDescent="0.3">
      <c r="Q2" s="4">
        <f>SUBTOTAL(9,Q4:Q332)</f>
        <v>-13349662.184873952</v>
      </c>
      <c r="R2" s="4">
        <f t="shared" ref="R2:S2" si="0">SUBTOTAL(9,R4:R332)</f>
        <v>-8212718</v>
      </c>
      <c r="S2" s="4">
        <f t="shared" si="0"/>
        <v>-5136944.1848739581</v>
      </c>
    </row>
    <row r="3" spans="1:19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5" t="s">
        <v>1019</v>
      </c>
      <c r="R3" s="5" t="s">
        <v>1020</v>
      </c>
      <c r="S3" s="5" t="s">
        <v>1021</v>
      </c>
    </row>
    <row r="4" spans="1:19" x14ac:dyDescent="0.3">
      <c r="A4">
        <v>300</v>
      </c>
      <c r="B4" t="s">
        <v>16</v>
      </c>
      <c r="C4" t="s">
        <v>17</v>
      </c>
      <c r="D4" s="1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s="1" t="s">
        <v>25</v>
      </c>
      <c r="L4" t="s">
        <v>26</v>
      </c>
      <c r="M4">
        <v>25313</v>
      </c>
      <c r="N4">
        <v>-1</v>
      </c>
      <c r="O4" s="2">
        <v>-49990</v>
      </c>
      <c r="P4" s="2">
        <v>33994</v>
      </c>
      <c r="Q4" s="4">
        <f>O4/1.19</f>
        <v>-42008.403361344543</v>
      </c>
      <c r="R4" s="4">
        <f>N4*P4</f>
        <v>-33994</v>
      </c>
      <c r="S4" s="4">
        <f>Q4-R4</f>
        <v>-8014.4033613445426</v>
      </c>
    </row>
    <row r="5" spans="1:19" x14ac:dyDescent="0.3">
      <c r="A5">
        <v>300</v>
      </c>
      <c r="B5" t="s">
        <v>16</v>
      </c>
      <c r="C5" t="s">
        <v>27</v>
      </c>
      <c r="D5" s="1" t="s">
        <v>28</v>
      </c>
      <c r="E5" t="s">
        <v>29</v>
      </c>
      <c r="F5" t="s">
        <v>20</v>
      </c>
      <c r="G5" t="s">
        <v>21</v>
      </c>
      <c r="H5" t="s">
        <v>30</v>
      </c>
      <c r="I5" t="s">
        <v>23</v>
      </c>
      <c r="J5" t="s">
        <v>31</v>
      </c>
      <c r="K5" s="1" t="s">
        <v>25</v>
      </c>
      <c r="L5" t="s">
        <v>26</v>
      </c>
      <c r="M5">
        <v>25326</v>
      </c>
      <c r="N5">
        <v>-1</v>
      </c>
      <c r="O5" s="2">
        <v>-34990</v>
      </c>
      <c r="P5" s="2">
        <v>21201</v>
      </c>
      <c r="Q5" s="4">
        <f t="shared" ref="Q5:Q68" si="1">O5/1.19</f>
        <v>-29403.361344537818</v>
      </c>
      <c r="R5" s="4">
        <f t="shared" ref="R5:R68" si="2">N5*P5</f>
        <v>-21201</v>
      </c>
      <c r="S5" s="4">
        <f t="shared" ref="S5:S68" si="3">Q5-R5</f>
        <v>-8202.3613445378178</v>
      </c>
    </row>
    <row r="6" spans="1:19" x14ac:dyDescent="0.3">
      <c r="A6">
        <v>300</v>
      </c>
      <c r="B6" t="s">
        <v>16</v>
      </c>
      <c r="C6" t="s">
        <v>32</v>
      </c>
      <c r="D6" s="1" t="s">
        <v>33</v>
      </c>
      <c r="E6" t="s">
        <v>34</v>
      </c>
      <c r="F6" t="s">
        <v>20</v>
      </c>
      <c r="G6" t="s">
        <v>21</v>
      </c>
      <c r="H6" t="s">
        <v>35</v>
      </c>
      <c r="I6" t="s">
        <v>23</v>
      </c>
      <c r="J6" t="s">
        <v>31</v>
      </c>
      <c r="K6" s="1" t="s">
        <v>25</v>
      </c>
      <c r="L6" t="s">
        <v>26</v>
      </c>
      <c r="M6">
        <v>25327</v>
      </c>
      <c r="N6">
        <v>-1</v>
      </c>
      <c r="O6" s="2">
        <v>-29990</v>
      </c>
      <c r="P6" s="2">
        <v>18914</v>
      </c>
      <c r="Q6" s="4">
        <f t="shared" si="1"/>
        <v>-25201.680672268907</v>
      </c>
      <c r="R6" s="4">
        <f t="shared" si="2"/>
        <v>-18914</v>
      </c>
      <c r="S6" s="4">
        <f t="shared" si="3"/>
        <v>-6287.6806722689071</v>
      </c>
    </row>
    <row r="7" spans="1:19" x14ac:dyDescent="0.3">
      <c r="A7">
        <v>300</v>
      </c>
      <c r="B7" t="s">
        <v>16</v>
      </c>
      <c r="C7" t="s">
        <v>36</v>
      </c>
      <c r="D7" s="1" t="s">
        <v>37</v>
      </c>
      <c r="E7" t="s">
        <v>38</v>
      </c>
      <c r="F7" t="s">
        <v>20</v>
      </c>
      <c r="G7" t="s">
        <v>21</v>
      </c>
      <c r="H7" t="s">
        <v>39</v>
      </c>
      <c r="I7" t="s">
        <v>23</v>
      </c>
      <c r="J7" t="s">
        <v>31</v>
      </c>
      <c r="K7" s="1" t="s">
        <v>25</v>
      </c>
      <c r="L7" t="s">
        <v>26</v>
      </c>
      <c r="M7">
        <v>25328</v>
      </c>
      <c r="N7">
        <v>-1</v>
      </c>
      <c r="O7" s="2">
        <v>-36990</v>
      </c>
      <c r="P7" s="2">
        <v>21715</v>
      </c>
      <c r="Q7" s="4">
        <f t="shared" si="1"/>
        <v>-31084.033613445379</v>
      </c>
      <c r="R7" s="4">
        <f t="shared" si="2"/>
        <v>-21715</v>
      </c>
      <c r="S7" s="4">
        <f t="shared" si="3"/>
        <v>-9369.0336134453792</v>
      </c>
    </row>
    <row r="8" spans="1:19" x14ac:dyDescent="0.3">
      <c r="A8">
        <v>300</v>
      </c>
      <c r="B8" t="s">
        <v>16</v>
      </c>
      <c r="C8" t="s">
        <v>40</v>
      </c>
      <c r="D8" s="1" t="s">
        <v>41</v>
      </c>
      <c r="E8" t="s">
        <v>42</v>
      </c>
      <c r="F8" t="s">
        <v>20</v>
      </c>
      <c r="G8" t="s">
        <v>21</v>
      </c>
      <c r="H8" t="s">
        <v>43</v>
      </c>
      <c r="I8" t="s">
        <v>23</v>
      </c>
      <c r="J8" t="s">
        <v>44</v>
      </c>
      <c r="K8" s="1" t="s">
        <v>25</v>
      </c>
      <c r="L8" t="s">
        <v>26</v>
      </c>
      <c r="M8">
        <v>25332</v>
      </c>
      <c r="N8">
        <v>-1</v>
      </c>
      <c r="O8" s="2">
        <v>-34990</v>
      </c>
      <c r="P8" s="2">
        <v>23670</v>
      </c>
      <c r="Q8" s="4">
        <f t="shared" si="1"/>
        <v>-29403.361344537818</v>
      </c>
      <c r="R8" s="4">
        <f t="shared" si="2"/>
        <v>-23670</v>
      </c>
      <c r="S8" s="4">
        <f t="shared" si="3"/>
        <v>-5733.3613445378178</v>
      </c>
    </row>
    <row r="9" spans="1:19" x14ac:dyDescent="0.3">
      <c r="A9">
        <v>300</v>
      </c>
      <c r="B9" t="s">
        <v>16</v>
      </c>
      <c r="C9" t="s">
        <v>45</v>
      </c>
      <c r="D9" s="1" t="s">
        <v>46</v>
      </c>
      <c r="E9" t="s">
        <v>47</v>
      </c>
      <c r="F9" t="s">
        <v>20</v>
      </c>
      <c r="G9" t="s">
        <v>21</v>
      </c>
      <c r="H9" t="s">
        <v>48</v>
      </c>
      <c r="I9" t="s">
        <v>23</v>
      </c>
      <c r="J9" t="s">
        <v>49</v>
      </c>
      <c r="K9" s="1" t="s">
        <v>25</v>
      </c>
      <c r="L9" t="s">
        <v>26</v>
      </c>
      <c r="M9">
        <v>25333</v>
      </c>
      <c r="N9">
        <v>-1</v>
      </c>
      <c r="O9" s="2">
        <v>-44990</v>
      </c>
      <c r="P9" s="2">
        <v>27480</v>
      </c>
      <c r="Q9" s="4">
        <f t="shared" si="1"/>
        <v>-37806.722689075636</v>
      </c>
      <c r="R9" s="4">
        <f t="shared" si="2"/>
        <v>-27480</v>
      </c>
      <c r="S9" s="4">
        <f t="shared" si="3"/>
        <v>-10326.722689075636</v>
      </c>
    </row>
    <row r="10" spans="1:19" x14ac:dyDescent="0.3">
      <c r="A10">
        <v>300</v>
      </c>
      <c r="B10" t="s">
        <v>16</v>
      </c>
      <c r="C10" t="s">
        <v>50</v>
      </c>
      <c r="D10" s="1" t="s">
        <v>51</v>
      </c>
      <c r="E10" t="s">
        <v>52</v>
      </c>
      <c r="F10" t="s">
        <v>20</v>
      </c>
      <c r="G10" t="s">
        <v>21</v>
      </c>
      <c r="H10" t="s">
        <v>30</v>
      </c>
      <c r="I10" t="s">
        <v>23</v>
      </c>
      <c r="J10" t="s">
        <v>31</v>
      </c>
      <c r="K10" s="1" t="s">
        <v>25</v>
      </c>
      <c r="L10" t="s">
        <v>26</v>
      </c>
      <c r="M10">
        <v>25334</v>
      </c>
      <c r="N10">
        <v>-1</v>
      </c>
      <c r="O10" s="2">
        <v>-49990</v>
      </c>
      <c r="P10" s="2">
        <v>26952</v>
      </c>
      <c r="Q10" s="4">
        <f t="shared" si="1"/>
        <v>-42008.403361344543</v>
      </c>
      <c r="R10" s="4">
        <f t="shared" si="2"/>
        <v>-26952</v>
      </c>
      <c r="S10" s="4">
        <f t="shared" si="3"/>
        <v>-15056.403361344543</v>
      </c>
    </row>
    <row r="11" spans="1:19" x14ac:dyDescent="0.3">
      <c r="A11">
        <v>300</v>
      </c>
      <c r="B11" t="s">
        <v>16</v>
      </c>
      <c r="C11" t="s">
        <v>53</v>
      </c>
      <c r="D11" s="1" t="s">
        <v>54</v>
      </c>
      <c r="E11" t="s">
        <v>55</v>
      </c>
      <c r="F11" t="s">
        <v>20</v>
      </c>
      <c r="G11" t="s">
        <v>21</v>
      </c>
      <c r="H11" t="s">
        <v>56</v>
      </c>
      <c r="I11" t="s">
        <v>23</v>
      </c>
      <c r="J11" t="s">
        <v>49</v>
      </c>
      <c r="K11" s="1" t="s">
        <v>25</v>
      </c>
      <c r="L11" t="s">
        <v>26</v>
      </c>
      <c r="M11">
        <v>25335</v>
      </c>
      <c r="N11">
        <v>-1</v>
      </c>
      <c r="O11" s="2">
        <v>-44990</v>
      </c>
      <c r="P11" s="2">
        <v>21029</v>
      </c>
      <c r="Q11" s="4">
        <f t="shared" si="1"/>
        <v>-37806.722689075636</v>
      </c>
      <c r="R11" s="4">
        <f t="shared" si="2"/>
        <v>-21029</v>
      </c>
      <c r="S11" s="4">
        <f t="shared" si="3"/>
        <v>-16777.722689075636</v>
      </c>
    </row>
    <row r="12" spans="1:19" x14ac:dyDescent="0.3">
      <c r="A12">
        <v>300</v>
      </c>
      <c r="B12" t="s">
        <v>16</v>
      </c>
      <c r="C12" t="s">
        <v>57</v>
      </c>
      <c r="D12" s="1" t="s">
        <v>58</v>
      </c>
      <c r="E12" t="s">
        <v>59</v>
      </c>
      <c r="F12" t="s">
        <v>20</v>
      </c>
      <c r="G12" t="s">
        <v>21</v>
      </c>
      <c r="H12" t="s">
        <v>60</v>
      </c>
      <c r="I12" t="s">
        <v>23</v>
      </c>
      <c r="J12" t="s">
        <v>31</v>
      </c>
      <c r="K12" s="1" t="s">
        <v>25</v>
      </c>
      <c r="L12" t="s">
        <v>26</v>
      </c>
      <c r="M12">
        <v>25336</v>
      </c>
      <c r="N12">
        <v>-1</v>
      </c>
      <c r="O12" s="2">
        <v>-51990</v>
      </c>
      <c r="P12" s="2">
        <v>29036</v>
      </c>
      <c r="Q12" s="4">
        <f t="shared" si="1"/>
        <v>-43689.075630252104</v>
      </c>
      <c r="R12" s="4">
        <f t="shared" si="2"/>
        <v>-29036</v>
      </c>
      <c r="S12" s="4">
        <f t="shared" si="3"/>
        <v>-14653.075630252104</v>
      </c>
    </row>
    <row r="13" spans="1:19" x14ac:dyDescent="0.3">
      <c r="A13">
        <v>300</v>
      </c>
      <c r="B13" t="s">
        <v>16</v>
      </c>
      <c r="C13" t="s">
        <v>61</v>
      </c>
      <c r="D13" s="1" t="s">
        <v>62</v>
      </c>
      <c r="E13" t="s">
        <v>63</v>
      </c>
      <c r="F13" t="s">
        <v>20</v>
      </c>
      <c r="G13" t="s">
        <v>21</v>
      </c>
      <c r="H13" t="s">
        <v>64</v>
      </c>
      <c r="I13" t="s">
        <v>23</v>
      </c>
      <c r="J13" t="s">
        <v>65</v>
      </c>
      <c r="K13" s="1" t="s">
        <v>25</v>
      </c>
      <c r="L13" t="s">
        <v>26</v>
      </c>
      <c r="M13">
        <v>25337</v>
      </c>
      <c r="N13">
        <v>-1</v>
      </c>
      <c r="O13" s="2">
        <v>-31990</v>
      </c>
      <c r="P13" s="2">
        <v>14950</v>
      </c>
      <c r="Q13" s="4">
        <f t="shared" si="1"/>
        <v>-26882.352941176472</v>
      </c>
      <c r="R13" s="4">
        <f t="shared" si="2"/>
        <v>-14950</v>
      </c>
      <c r="S13" s="4">
        <f t="shared" si="3"/>
        <v>-11932.352941176472</v>
      </c>
    </row>
    <row r="14" spans="1:19" x14ac:dyDescent="0.3">
      <c r="A14">
        <v>300</v>
      </c>
      <c r="B14" t="s">
        <v>16</v>
      </c>
      <c r="C14" t="s">
        <v>66</v>
      </c>
      <c r="D14" s="1" t="s">
        <v>67</v>
      </c>
      <c r="E14" t="s">
        <v>68</v>
      </c>
      <c r="F14" t="s">
        <v>20</v>
      </c>
      <c r="G14" t="s">
        <v>21</v>
      </c>
      <c r="H14" t="s">
        <v>35</v>
      </c>
      <c r="I14" t="s">
        <v>23</v>
      </c>
      <c r="J14" t="s">
        <v>31</v>
      </c>
      <c r="K14" s="1" t="s">
        <v>25</v>
      </c>
      <c r="L14" t="s">
        <v>26</v>
      </c>
      <c r="M14">
        <v>25338</v>
      </c>
      <c r="N14">
        <v>-1</v>
      </c>
      <c r="O14" s="2">
        <v>-29990</v>
      </c>
      <c r="P14" s="2">
        <v>21029</v>
      </c>
      <c r="Q14" s="4">
        <f t="shared" si="1"/>
        <v>-25201.680672268907</v>
      </c>
      <c r="R14" s="4">
        <f t="shared" si="2"/>
        <v>-21029</v>
      </c>
      <c r="S14" s="4">
        <f t="shared" si="3"/>
        <v>-4172.6806722689071</v>
      </c>
    </row>
    <row r="15" spans="1:19" x14ac:dyDescent="0.3">
      <c r="A15">
        <v>300</v>
      </c>
      <c r="B15" t="s">
        <v>16</v>
      </c>
      <c r="C15" t="s">
        <v>69</v>
      </c>
      <c r="D15" s="1" t="s">
        <v>70</v>
      </c>
      <c r="E15" t="s">
        <v>71</v>
      </c>
      <c r="F15" t="s">
        <v>20</v>
      </c>
      <c r="G15" t="s">
        <v>21</v>
      </c>
      <c r="H15" t="s">
        <v>72</v>
      </c>
      <c r="I15" t="s">
        <v>23</v>
      </c>
      <c r="J15" t="s">
        <v>44</v>
      </c>
      <c r="K15" s="1" t="s">
        <v>25</v>
      </c>
      <c r="L15" t="s">
        <v>26</v>
      </c>
      <c r="M15">
        <v>25339</v>
      </c>
      <c r="N15">
        <v>-1</v>
      </c>
      <c r="O15" s="2">
        <v>-48990</v>
      </c>
      <c r="P15" s="2">
        <v>25871</v>
      </c>
      <c r="Q15" s="4">
        <f t="shared" si="1"/>
        <v>-41168.067226890758</v>
      </c>
      <c r="R15" s="4">
        <f t="shared" si="2"/>
        <v>-25871</v>
      </c>
      <c r="S15" s="4">
        <f t="shared" si="3"/>
        <v>-15297.067226890758</v>
      </c>
    </row>
    <row r="16" spans="1:19" x14ac:dyDescent="0.3">
      <c r="A16">
        <v>300</v>
      </c>
      <c r="B16" t="s">
        <v>16</v>
      </c>
      <c r="C16" t="s">
        <v>73</v>
      </c>
      <c r="D16" s="1" t="s">
        <v>74</v>
      </c>
      <c r="E16" t="s">
        <v>75</v>
      </c>
      <c r="F16" t="s">
        <v>20</v>
      </c>
      <c r="G16" t="s">
        <v>21</v>
      </c>
      <c r="H16" t="s">
        <v>76</v>
      </c>
      <c r="I16" t="s">
        <v>23</v>
      </c>
      <c r="J16" t="s">
        <v>44</v>
      </c>
      <c r="K16" s="1" t="s">
        <v>25</v>
      </c>
      <c r="L16" t="s">
        <v>26</v>
      </c>
      <c r="M16">
        <v>25340</v>
      </c>
      <c r="N16">
        <v>-1</v>
      </c>
      <c r="O16" s="2">
        <v>-34990</v>
      </c>
      <c r="P16" s="2">
        <v>26454</v>
      </c>
      <c r="Q16" s="4">
        <f t="shared" si="1"/>
        <v>-29403.361344537818</v>
      </c>
      <c r="R16" s="4">
        <f t="shared" si="2"/>
        <v>-26454</v>
      </c>
      <c r="S16" s="4">
        <f t="shared" si="3"/>
        <v>-2949.3613445378178</v>
      </c>
    </row>
    <row r="17" spans="1:19" x14ac:dyDescent="0.3">
      <c r="A17">
        <v>300</v>
      </c>
      <c r="B17" t="s">
        <v>16</v>
      </c>
      <c r="C17" t="s">
        <v>77</v>
      </c>
      <c r="D17" s="1" t="s">
        <v>78</v>
      </c>
      <c r="E17" t="s">
        <v>79</v>
      </c>
      <c r="F17" t="s">
        <v>20</v>
      </c>
      <c r="G17" t="s">
        <v>21</v>
      </c>
      <c r="H17" t="s">
        <v>80</v>
      </c>
      <c r="I17" t="s">
        <v>23</v>
      </c>
      <c r="J17" t="s">
        <v>65</v>
      </c>
      <c r="K17" s="1" t="s">
        <v>81</v>
      </c>
      <c r="L17" t="s">
        <v>26</v>
      </c>
      <c r="M17">
        <v>25341</v>
      </c>
      <c r="N17">
        <v>-1</v>
      </c>
      <c r="O17" s="2">
        <v>-39990</v>
      </c>
      <c r="P17" s="2">
        <v>25095</v>
      </c>
      <c r="Q17" s="4">
        <f t="shared" si="1"/>
        <v>-33605.042016806721</v>
      </c>
      <c r="R17" s="4">
        <f t="shared" si="2"/>
        <v>-25095</v>
      </c>
      <c r="S17" s="4">
        <f t="shared" si="3"/>
        <v>-8510.0420168067212</v>
      </c>
    </row>
    <row r="18" spans="1:19" x14ac:dyDescent="0.3">
      <c r="A18">
        <v>300</v>
      </c>
      <c r="B18" t="s">
        <v>16</v>
      </c>
      <c r="C18" t="s">
        <v>82</v>
      </c>
      <c r="D18" s="1" t="s">
        <v>83</v>
      </c>
      <c r="E18" t="s">
        <v>84</v>
      </c>
      <c r="F18" t="s">
        <v>20</v>
      </c>
      <c r="G18" t="s">
        <v>21</v>
      </c>
      <c r="H18" t="s">
        <v>85</v>
      </c>
      <c r="I18" t="s">
        <v>23</v>
      </c>
      <c r="J18" t="s">
        <v>44</v>
      </c>
      <c r="K18" s="1" t="s">
        <v>81</v>
      </c>
      <c r="L18" t="s">
        <v>26</v>
      </c>
      <c r="M18">
        <v>25342</v>
      </c>
      <c r="N18">
        <v>-1</v>
      </c>
      <c r="O18" s="2">
        <v>-34990</v>
      </c>
      <c r="P18" s="2">
        <v>25747</v>
      </c>
      <c r="Q18" s="4">
        <f t="shared" si="1"/>
        <v>-29403.361344537818</v>
      </c>
      <c r="R18" s="4">
        <f t="shared" si="2"/>
        <v>-25747</v>
      </c>
      <c r="S18" s="4">
        <f t="shared" si="3"/>
        <v>-3656.3613445378178</v>
      </c>
    </row>
    <row r="19" spans="1:19" x14ac:dyDescent="0.3">
      <c r="A19">
        <v>300</v>
      </c>
      <c r="B19" t="s">
        <v>16</v>
      </c>
      <c r="C19">
        <v>999999</v>
      </c>
      <c r="D19" s="1" t="s">
        <v>86</v>
      </c>
      <c r="E19" t="s">
        <v>87</v>
      </c>
      <c r="F19" t="s">
        <v>88</v>
      </c>
      <c r="G19" t="s">
        <v>88</v>
      </c>
      <c r="H19" t="s">
        <v>88</v>
      </c>
      <c r="I19" t="s">
        <v>23</v>
      </c>
      <c r="J19" t="s">
        <v>88</v>
      </c>
      <c r="K19" s="1" t="s">
        <v>89</v>
      </c>
      <c r="L19" t="s">
        <v>90</v>
      </c>
      <c r="M19">
        <v>773</v>
      </c>
      <c r="N19">
        <v>1</v>
      </c>
      <c r="O19" s="2">
        <v>3389730</v>
      </c>
      <c r="P19">
        <v>1</v>
      </c>
      <c r="Q19" s="4">
        <f t="shared" si="1"/>
        <v>2848512.6050420171</v>
      </c>
      <c r="R19" s="4">
        <f t="shared" si="2"/>
        <v>1</v>
      </c>
      <c r="S19" s="4">
        <f t="shared" si="3"/>
        <v>2848511.6050420171</v>
      </c>
    </row>
    <row r="20" spans="1:19" x14ac:dyDescent="0.3">
      <c r="A20">
        <v>300</v>
      </c>
      <c r="B20" t="s">
        <v>16</v>
      </c>
      <c r="C20">
        <v>999999</v>
      </c>
      <c r="D20" s="1" t="s">
        <v>86</v>
      </c>
      <c r="E20" t="s">
        <v>87</v>
      </c>
      <c r="F20" t="s">
        <v>88</v>
      </c>
      <c r="G20" t="s">
        <v>88</v>
      </c>
      <c r="H20" t="s">
        <v>88</v>
      </c>
      <c r="I20" t="s">
        <v>23</v>
      </c>
      <c r="J20" t="s">
        <v>88</v>
      </c>
      <c r="K20" s="1" t="s">
        <v>89</v>
      </c>
      <c r="L20" t="s">
        <v>90</v>
      </c>
      <c r="M20">
        <v>774</v>
      </c>
      <c r="N20">
        <v>1</v>
      </c>
      <c r="O20" s="2">
        <v>3389730</v>
      </c>
      <c r="P20">
        <v>1</v>
      </c>
      <c r="Q20" s="4">
        <f t="shared" si="1"/>
        <v>2848512.6050420171</v>
      </c>
      <c r="R20" s="4">
        <f t="shared" si="2"/>
        <v>1</v>
      </c>
      <c r="S20" s="4">
        <f t="shared" si="3"/>
        <v>2848511.6050420171</v>
      </c>
    </row>
    <row r="21" spans="1:19" x14ac:dyDescent="0.3">
      <c r="A21">
        <v>300</v>
      </c>
      <c r="B21" t="s">
        <v>16</v>
      </c>
      <c r="C21">
        <v>999999</v>
      </c>
      <c r="D21" s="1" t="s">
        <v>86</v>
      </c>
      <c r="E21" t="s">
        <v>87</v>
      </c>
      <c r="F21" t="s">
        <v>88</v>
      </c>
      <c r="G21" t="s">
        <v>88</v>
      </c>
      <c r="H21" t="s">
        <v>88</v>
      </c>
      <c r="I21" t="s">
        <v>23</v>
      </c>
      <c r="J21" t="s">
        <v>88</v>
      </c>
      <c r="K21" s="1" t="s">
        <v>89</v>
      </c>
      <c r="L21" t="s">
        <v>26</v>
      </c>
      <c r="M21">
        <v>25343</v>
      </c>
      <c r="N21">
        <v>-1</v>
      </c>
      <c r="O21" s="2">
        <v>-3389730</v>
      </c>
      <c r="P21">
        <v>1</v>
      </c>
      <c r="Q21" s="4">
        <f t="shared" si="1"/>
        <v>-2848512.6050420171</v>
      </c>
      <c r="R21" s="4">
        <f t="shared" si="2"/>
        <v>-1</v>
      </c>
      <c r="S21" s="4">
        <f t="shared" si="3"/>
        <v>-2848511.6050420171</v>
      </c>
    </row>
    <row r="22" spans="1:19" x14ac:dyDescent="0.3">
      <c r="A22">
        <v>300</v>
      </c>
      <c r="B22" t="s">
        <v>16</v>
      </c>
      <c r="C22" t="s">
        <v>91</v>
      </c>
      <c r="D22" s="1" t="s">
        <v>92</v>
      </c>
      <c r="E22" t="s">
        <v>93</v>
      </c>
      <c r="F22" t="s">
        <v>20</v>
      </c>
      <c r="G22" t="s">
        <v>21</v>
      </c>
      <c r="H22" t="s">
        <v>94</v>
      </c>
      <c r="I22" t="s">
        <v>23</v>
      </c>
      <c r="J22" t="s">
        <v>49</v>
      </c>
      <c r="K22" s="1" t="s">
        <v>89</v>
      </c>
      <c r="L22" t="s">
        <v>26</v>
      </c>
      <c r="M22">
        <v>25350</v>
      </c>
      <c r="N22">
        <v>-1</v>
      </c>
      <c r="O22" s="2">
        <v>-34990</v>
      </c>
      <c r="P22" s="2">
        <v>19177</v>
      </c>
      <c r="Q22" s="4">
        <f t="shared" si="1"/>
        <v>-29403.361344537818</v>
      </c>
      <c r="R22" s="4">
        <f t="shared" si="2"/>
        <v>-19177</v>
      </c>
      <c r="S22" s="4">
        <f t="shared" si="3"/>
        <v>-10226.361344537818</v>
      </c>
    </row>
    <row r="23" spans="1:19" x14ac:dyDescent="0.3">
      <c r="A23">
        <v>300</v>
      </c>
      <c r="B23" t="s">
        <v>16</v>
      </c>
      <c r="C23" t="s">
        <v>95</v>
      </c>
      <c r="D23" s="1" t="s">
        <v>96</v>
      </c>
      <c r="E23" t="s">
        <v>97</v>
      </c>
      <c r="F23" t="s">
        <v>20</v>
      </c>
      <c r="G23" t="s">
        <v>21</v>
      </c>
      <c r="H23" t="s">
        <v>30</v>
      </c>
      <c r="I23" t="s">
        <v>23</v>
      </c>
      <c r="J23" t="s">
        <v>31</v>
      </c>
      <c r="K23" s="1" t="s">
        <v>98</v>
      </c>
      <c r="L23" t="s">
        <v>26</v>
      </c>
      <c r="M23">
        <v>25351</v>
      </c>
      <c r="N23">
        <v>-1</v>
      </c>
      <c r="O23" s="2">
        <v>-59990</v>
      </c>
      <c r="P23" s="2">
        <v>23277</v>
      </c>
      <c r="Q23" s="4">
        <f t="shared" si="1"/>
        <v>-50411.764705882357</v>
      </c>
      <c r="R23" s="4">
        <f t="shared" si="2"/>
        <v>-23277</v>
      </c>
      <c r="S23" s="4">
        <f t="shared" si="3"/>
        <v>-27134.764705882357</v>
      </c>
    </row>
    <row r="24" spans="1:19" x14ac:dyDescent="0.3">
      <c r="A24">
        <v>300</v>
      </c>
      <c r="B24" t="s">
        <v>16</v>
      </c>
      <c r="C24" t="s">
        <v>99</v>
      </c>
      <c r="D24" s="1" t="s">
        <v>100</v>
      </c>
      <c r="E24" t="s">
        <v>101</v>
      </c>
      <c r="F24" t="s">
        <v>20</v>
      </c>
      <c r="G24" t="s">
        <v>21</v>
      </c>
      <c r="H24" t="s">
        <v>102</v>
      </c>
      <c r="I24" t="s">
        <v>23</v>
      </c>
      <c r="J24" t="s">
        <v>31</v>
      </c>
      <c r="K24" s="1" t="s">
        <v>98</v>
      </c>
      <c r="L24" t="s">
        <v>26</v>
      </c>
      <c r="M24">
        <v>25352</v>
      </c>
      <c r="N24">
        <v>-1</v>
      </c>
      <c r="O24" s="2">
        <v>-48990</v>
      </c>
      <c r="P24" s="2">
        <v>28778</v>
      </c>
      <c r="Q24" s="4">
        <f t="shared" si="1"/>
        <v>-41168.067226890758</v>
      </c>
      <c r="R24" s="4">
        <f t="shared" si="2"/>
        <v>-28778</v>
      </c>
      <c r="S24" s="4">
        <f t="shared" si="3"/>
        <v>-12390.067226890758</v>
      </c>
    </row>
    <row r="25" spans="1:19" x14ac:dyDescent="0.3">
      <c r="A25">
        <v>300</v>
      </c>
      <c r="B25" t="s">
        <v>16</v>
      </c>
      <c r="C25" t="s">
        <v>103</v>
      </c>
      <c r="D25" s="1" t="s">
        <v>104</v>
      </c>
      <c r="E25" t="s">
        <v>105</v>
      </c>
      <c r="F25" t="s">
        <v>20</v>
      </c>
      <c r="G25" t="s">
        <v>21</v>
      </c>
      <c r="H25" t="s">
        <v>106</v>
      </c>
      <c r="I25" t="s">
        <v>23</v>
      </c>
      <c r="J25" t="s">
        <v>49</v>
      </c>
      <c r="K25" s="1" t="s">
        <v>98</v>
      </c>
      <c r="L25" t="s">
        <v>26</v>
      </c>
      <c r="M25">
        <v>25353</v>
      </c>
      <c r="N25">
        <v>-1</v>
      </c>
      <c r="O25" s="2">
        <v>-48990</v>
      </c>
      <c r="P25" s="2">
        <v>22405</v>
      </c>
      <c r="Q25" s="4">
        <f t="shared" si="1"/>
        <v>-41168.067226890758</v>
      </c>
      <c r="R25" s="4">
        <f t="shared" si="2"/>
        <v>-22405</v>
      </c>
      <c r="S25" s="4">
        <f t="shared" si="3"/>
        <v>-18763.067226890758</v>
      </c>
    </row>
    <row r="26" spans="1:19" x14ac:dyDescent="0.3">
      <c r="A26">
        <v>300</v>
      </c>
      <c r="B26" t="s">
        <v>16</v>
      </c>
      <c r="C26" t="s">
        <v>107</v>
      </c>
      <c r="D26" s="1" t="s">
        <v>108</v>
      </c>
      <c r="E26" t="s">
        <v>109</v>
      </c>
      <c r="F26" t="s">
        <v>20</v>
      </c>
      <c r="G26" t="s">
        <v>110</v>
      </c>
      <c r="H26">
        <v>28202</v>
      </c>
      <c r="I26" t="s">
        <v>23</v>
      </c>
      <c r="J26" t="s">
        <v>31</v>
      </c>
      <c r="K26" s="1" t="s">
        <v>98</v>
      </c>
      <c r="L26" t="s">
        <v>26</v>
      </c>
      <c r="M26">
        <v>25354</v>
      </c>
      <c r="N26">
        <v>-1</v>
      </c>
      <c r="O26" s="2">
        <v>-59990</v>
      </c>
      <c r="P26" s="2">
        <v>24935</v>
      </c>
      <c r="Q26" s="4">
        <f t="shared" si="1"/>
        <v>-50411.764705882357</v>
      </c>
      <c r="R26" s="4">
        <f t="shared" si="2"/>
        <v>-24935</v>
      </c>
      <c r="S26" s="4">
        <f t="shared" si="3"/>
        <v>-25476.764705882357</v>
      </c>
    </row>
    <row r="27" spans="1:19" x14ac:dyDescent="0.3">
      <c r="A27">
        <v>300</v>
      </c>
      <c r="B27" t="s">
        <v>16</v>
      </c>
      <c r="C27" t="s">
        <v>111</v>
      </c>
      <c r="D27" s="1" t="s">
        <v>112</v>
      </c>
      <c r="E27" t="s">
        <v>113</v>
      </c>
      <c r="F27" t="s">
        <v>20</v>
      </c>
      <c r="G27" t="s">
        <v>21</v>
      </c>
      <c r="H27" t="s">
        <v>114</v>
      </c>
      <c r="I27" t="s">
        <v>23</v>
      </c>
      <c r="J27" t="s">
        <v>65</v>
      </c>
      <c r="K27" s="1" t="s">
        <v>98</v>
      </c>
      <c r="L27" t="s">
        <v>26</v>
      </c>
      <c r="M27">
        <v>25355</v>
      </c>
      <c r="N27">
        <v>-1</v>
      </c>
      <c r="O27" s="2">
        <v>-34990</v>
      </c>
      <c r="P27" s="2">
        <v>25974</v>
      </c>
      <c r="Q27" s="4">
        <f t="shared" si="1"/>
        <v>-29403.361344537818</v>
      </c>
      <c r="R27" s="4">
        <f t="shared" si="2"/>
        <v>-25974</v>
      </c>
      <c r="S27" s="4">
        <f t="shared" si="3"/>
        <v>-3429.3613445378178</v>
      </c>
    </row>
    <row r="28" spans="1:19" x14ac:dyDescent="0.3">
      <c r="A28">
        <v>300</v>
      </c>
      <c r="B28" t="s">
        <v>16</v>
      </c>
      <c r="C28" t="s">
        <v>115</v>
      </c>
      <c r="D28" s="1" t="s">
        <v>116</v>
      </c>
      <c r="E28" t="s">
        <v>117</v>
      </c>
      <c r="F28" t="s">
        <v>20</v>
      </c>
      <c r="G28" t="s">
        <v>21</v>
      </c>
      <c r="H28" t="s">
        <v>118</v>
      </c>
      <c r="I28" t="s">
        <v>23</v>
      </c>
      <c r="J28" t="s">
        <v>24</v>
      </c>
      <c r="K28" s="1" t="s">
        <v>98</v>
      </c>
      <c r="L28" t="s">
        <v>26</v>
      </c>
      <c r="M28">
        <v>25356</v>
      </c>
      <c r="N28">
        <v>-1</v>
      </c>
      <c r="O28" s="2">
        <v>-64989</v>
      </c>
      <c r="P28" s="2">
        <v>35745</v>
      </c>
      <c r="Q28" s="4">
        <f t="shared" si="1"/>
        <v>-54612.60504201681</v>
      </c>
      <c r="R28" s="4">
        <f t="shared" si="2"/>
        <v>-35745</v>
      </c>
      <c r="S28" s="4">
        <f t="shared" si="3"/>
        <v>-18867.60504201681</v>
      </c>
    </row>
    <row r="29" spans="1:19" x14ac:dyDescent="0.3">
      <c r="A29">
        <v>300</v>
      </c>
      <c r="B29" t="s">
        <v>16</v>
      </c>
      <c r="C29" t="s">
        <v>119</v>
      </c>
      <c r="D29" s="1" t="s">
        <v>120</v>
      </c>
      <c r="E29" t="s">
        <v>121</v>
      </c>
      <c r="F29" t="s">
        <v>20</v>
      </c>
      <c r="G29" t="s">
        <v>21</v>
      </c>
      <c r="H29" t="s">
        <v>122</v>
      </c>
      <c r="I29" t="s">
        <v>23</v>
      </c>
      <c r="J29" t="s">
        <v>31</v>
      </c>
      <c r="K29" s="1" t="s">
        <v>98</v>
      </c>
      <c r="L29" t="s">
        <v>26</v>
      </c>
      <c r="M29">
        <v>25357</v>
      </c>
      <c r="N29">
        <v>-1</v>
      </c>
      <c r="O29" s="2">
        <v>-26990</v>
      </c>
      <c r="P29" s="2">
        <v>21673</v>
      </c>
      <c r="Q29" s="4">
        <f t="shared" si="1"/>
        <v>-22680.672268907565</v>
      </c>
      <c r="R29" s="4">
        <f t="shared" si="2"/>
        <v>-21673</v>
      </c>
      <c r="S29" s="4">
        <f t="shared" si="3"/>
        <v>-1007.672268907565</v>
      </c>
    </row>
    <row r="30" spans="1:19" x14ac:dyDescent="0.3">
      <c r="A30">
        <v>300</v>
      </c>
      <c r="B30" t="s">
        <v>16</v>
      </c>
      <c r="C30" t="s">
        <v>123</v>
      </c>
      <c r="D30" s="1" t="s">
        <v>124</v>
      </c>
      <c r="E30" t="s">
        <v>125</v>
      </c>
      <c r="F30" t="s">
        <v>20</v>
      </c>
      <c r="G30" t="s">
        <v>21</v>
      </c>
      <c r="H30" t="s">
        <v>126</v>
      </c>
      <c r="I30" t="s">
        <v>23</v>
      </c>
      <c r="J30" t="s">
        <v>49</v>
      </c>
      <c r="K30" s="1" t="s">
        <v>98</v>
      </c>
      <c r="L30" t="s">
        <v>26</v>
      </c>
      <c r="M30">
        <v>25358</v>
      </c>
      <c r="N30">
        <v>-1</v>
      </c>
      <c r="O30" s="2">
        <v>-39990</v>
      </c>
      <c r="P30" s="2">
        <v>25509</v>
      </c>
      <c r="Q30" s="4">
        <f t="shared" si="1"/>
        <v>-33605.042016806721</v>
      </c>
      <c r="R30" s="4">
        <f t="shared" si="2"/>
        <v>-25509</v>
      </c>
      <c r="S30" s="4">
        <f t="shared" si="3"/>
        <v>-8096.0420168067212</v>
      </c>
    </row>
    <row r="31" spans="1:19" x14ac:dyDescent="0.3">
      <c r="A31">
        <v>300</v>
      </c>
      <c r="B31" t="s">
        <v>16</v>
      </c>
      <c r="C31" t="s">
        <v>127</v>
      </c>
      <c r="D31" s="1" t="s">
        <v>128</v>
      </c>
      <c r="E31" t="s">
        <v>129</v>
      </c>
      <c r="F31" t="s">
        <v>20</v>
      </c>
      <c r="G31" t="s">
        <v>21</v>
      </c>
      <c r="H31" t="s">
        <v>130</v>
      </c>
      <c r="I31" t="s">
        <v>23</v>
      </c>
      <c r="J31" t="s">
        <v>65</v>
      </c>
      <c r="K31" s="1" t="s">
        <v>98</v>
      </c>
      <c r="L31" t="s">
        <v>26</v>
      </c>
      <c r="M31">
        <v>25359</v>
      </c>
      <c r="N31">
        <v>-1</v>
      </c>
      <c r="O31" s="2">
        <v>-74950</v>
      </c>
      <c r="P31" s="2">
        <v>29949</v>
      </c>
      <c r="Q31" s="4">
        <f t="shared" si="1"/>
        <v>-62983.193277310929</v>
      </c>
      <c r="R31" s="4">
        <f t="shared" si="2"/>
        <v>-29949</v>
      </c>
      <c r="S31" s="4">
        <f t="shared" si="3"/>
        <v>-33034.193277310929</v>
      </c>
    </row>
    <row r="32" spans="1:19" x14ac:dyDescent="0.3">
      <c r="A32">
        <v>300</v>
      </c>
      <c r="B32" t="s">
        <v>16</v>
      </c>
      <c r="C32" t="s">
        <v>131</v>
      </c>
      <c r="D32" s="1" t="s">
        <v>132</v>
      </c>
      <c r="E32" t="s">
        <v>133</v>
      </c>
      <c r="F32" t="s">
        <v>20</v>
      </c>
      <c r="G32" t="s">
        <v>21</v>
      </c>
      <c r="H32" t="s">
        <v>134</v>
      </c>
      <c r="I32" t="s">
        <v>23</v>
      </c>
      <c r="J32" t="s">
        <v>49</v>
      </c>
      <c r="K32" s="1" t="s">
        <v>98</v>
      </c>
      <c r="L32" t="s">
        <v>26</v>
      </c>
      <c r="M32">
        <v>25360</v>
      </c>
      <c r="N32">
        <v>-1</v>
      </c>
      <c r="O32" s="2">
        <v>-41990</v>
      </c>
      <c r="P32" s="2">
        <v>21039</v>
      </c>
      <c r="Q32" s="4">
        <f t="shared" si="1"/>
        <v>-35285.71428571429</v>
      </c>
      <c r="R32" s="4">
        <f t="shared" si="2"/>
        <v>-21039</v>
      </c>
      <c r="S32" s="4">
        <f t="shared" si="3"/>
        <v>-14246.71428571429</v>
      </c>
    </row>
    <row r="33" spans="1:19" x14ac:dyDescent="0.3">
      <c r="A33">
        <v>300</v>
      </c>
      <c r="B33" t="s">
        <v>16</v>
      </c>
      <c r="C33" t="s">
        <v>135</v>
      </c>
      <c r="D33" s="1" t="s">
        <v>136</v>
      </c>
      <c r="E33" t="s">
        <v>137</v>
      </c>
      <c r="F33" t="s">
        <v>20</v>
      </c>
      <c r="G33" t="s">
        <v>21</v>
      </c>
      <c r="H33" t="s">
        <v>138</v>
      </c>
      <c r="I33" t="s">
        <v>23</v>
      </c>
      <c r="J33" t="s">
        <v>31</v>
      </c>
      <c r="K33" s="1" t="s">
        <v>98</v>
      </c>
      <c r="L33" t="s">
        <v>26</v>
      </c>
      <c r="M33">
        <v>25361</v>
      </c>
      <c r="N33">
        <v>-1</v>
      </c>
      <c r="O33" s="2">
        <v>-48990</v>
      </c>
      <c r="P33" s="2">
        <v>27425</v>
      </c>
      <c r="Q33" s="4">
        <f t="shared" si="1"/>
        <v>-41168.067226890758</v>
      </c>
      <c r="R33" s="4">
        <f t="shared" si="2"/>
        <v>-27425</v>
      </c>
      <c r="S33" s="4">
        <f t="shared" si="3"/>
        <v>-13743.067226890758</v>
      </c>
    </row>
    <row r="34" spans="1:19" x14ac:dyDescent="0.3">
      <c r="A34">
        <v>300</v>
      </c>
      <c r="B34" t="s">
        <v>16</v>
      </c>
      <c r="C34" t="s">
        <v>139</v>
      </c>
      <c r="D34" s="1" t="s">
        <v>140</v>
      </c>
      <c r="E34" t="s">
        <v>47</v>
      </c>
      <c r="F34" t="s">
        <v>20</v>
      </c>
      <c r="G34" t="s">
        <v>21</v>
      </c>
      <c r="H34" t="s">
        <v>48</v>
      </c>
      <c r="I34" t="s">
        <v>23</v>
      </c>
      <c r="J34" t="s">
        <v>49</v>
      </c>
      <c r="K34" s="1" t="s">
        <v>98</v>
      </c>
      <c r="L34" t="s">
        <v>26</v>
      </c>
      <c r="M34">
        <v>25362</v>
      </c>
      <c r="N34">
        <v>-1</v>
      </c>
      <c r="O34" s="2">
        <v>-44990</v>
      </c>
      <c r="P34" s="2">
        <v>27536</v>
      </c>
      <c r="Q34" s="4">
        <f t="shared" si="1"/>
        <v>-37806.722689075636</v>
      </c>
      <c r="R34" s="4">
        <f t="shared" si="2"/>
        <v>-27536</v>
      </c>
      <c r="S34" s="4">
        <f t="shared" si="3"/>
        <v>-10270.722689075636</v>
      </c>
    </row>
    <row r="35" spans="1:19" x14ac:dyDescent="0.3">
      <c r="A35">
        <v>300</v>
      </c>
      <c r="B35" t="s">
        <v>16</v>
      </c>
      <c r="C35" t="s">
        <v>141</v>
      </c>
      <c r="D35" s="1" t="s">
        <v>142</v>
      </c>
      <c r="E35" t="s">
        <v>143</v>
      </c>
      <c r="F35" t="s">
        <v>20</v>
      </c>
      <c r="G35" t="s">
        <v>21</v>
      </c>
      <c r="H35" t="s">
        <v>43</v>
      </c>
      <c r="I35" t="s">
        <v>23</v>
      </c>
      <c r="J35" t="s">
        <v>44</v>
      </c>
      <c r="K35" s="1" t="s">
        <v>98</v>
      </c>
      <c r="L35" t="s">
        <v>26</v>
      </c>
      <c r="M35">
        <v>25363</v>
      </c>
      <c r="N35">
        <v>-1</v>
      </c>
      <c r="O35" s="2">
        <v>-34990</v>
      </c>
      <c r="P35" s="2">
        <v>20109</v>
      </c>
      <c r="Q35" s="4">
        <f t="shared" si="1"/>
        <v>-29403.361344537818</v>
      </c>
      <c r="R35" s="4">
        <f t="shared" si="2"/>
        <v>-20109</v>
      </c>
      <c r="S35" s="4">
        <f t="shared" si="3"/>
        <v>-9294.3613445378178</v>
      </c>
    </row>
    <row r="36" spans="1:19" x14ac:dyDescent="0.3">
      <c r="A36">
        <v>300</v>
      </c>
      <c r="B36" t="s">
        <v>16</v>
      </c>
      <c r="C36" t="s">
        <v>144</v>
      </c>
      <c r="D36" s="1" t="s">
        <v>145</v>
      </c>
      <c r="E36" t="s">
        <v>146</v>
      </c>
      <c r="F36" t="s">
        <v>20</v>
      </c>
      <c r="G36" t="s">
        <v>21</v>
      </c>
      <c r="H36" t="s">
        <v>147</v>
      </c>
      <c r="I36" t="s">
        <v>23</v>
      </c>
      <c r="J36" t="s">
        <v>31</v>
      </c>
      <c r="K36" s="1" t="s">
        <v>98</v>
      </c>
      <c r="L36" t="s">
        <v>26</v>
      </c>
      <c r="M36">
        <v>25364</v>
      </c>
      <c r="N36">
        <v>-1</v>
      </c>
      <c r="O36" s="2">
        <v>-44990</v>
      </c>
      <c r="P36" s="2">
        <v>27139</v>
      </c>
      <c r="Q36" s="4">
        <f t="shared" si="1"/>
        <v>-37806.722689075636</v>
      </c>
      <c r="R36" s="4">
        <f t="shared" si="2"/>
        <v>-27139</v>
      </c>
      <c r="S36" s="4">
        <f t="shared" si="3"/>
        <v>-10667.722689075636</v>
      </c>
    </row>
    <row r="37" spans="1:19" x14ac:dyDescent="0.3">
      <c r="A37">
        <v>300</v>
      </c>
      <c r="B37" t="s">
        <v>16</v>
      </c>
      <c r="C37" t="s">
        <v>148</v>
      </c>
      <c r="D37" s="1" t="s">
        <v>149</v>
      </c>
      <c r="E37" t="s">
        <v>150</v>
      </c>
      <c r="F37" t="s">
        <v>20</v>
      </c>
      <c r="G37" t="s">
        <v>21</v>
      </c>
      <c r="H37" t="s">
        <v>151</v>
      </c>
      <c r="I37" t="s">
        <v>23</v>
      </c>
      <c r="J37" t="s">
        <v>31</v>
      </c>
      <c r="K37" s="1" t="s">
        <v>98</v>
      </c>
      <c r="L37" t="s">
        <v>26</v>
      </c>
      <c r="M37">
        <v>25365</v>
      </c>
      <c r="N37">
        <v>-1</v>
      </c>
      <c r="O37" s="2">
        <v>-55990</v>
      </c>
      <c r="P37" s="2">
        <v>26413</v>
      </c>
      <c r="Q37" s="4">
        <f t="shared" si="1"/>
        <v>-47050.420168067227</v>
      </c>
      <c r="R37" s="4">
        <f t="shared" si="2"/>
        <v>-26413</v>
      </c>
      <c r="S37" s="4">
        <f t="shared" si="3"/>
        <v>-20637.420168067227</v>
      </c>
    </row>
    <row r="38" spans="1:19" x14ac:dyDescent="0.3">
      <c r="A38">
        <v>300</v>
      </c>
      <c r="B38" t="s">
        <v>16</v>
      </c>
      <c r="C38" t="s">
        <v>152</v>
      </c>
      <c r="D38" s="1" t="s">
        <v>153</v>
      </c>
      <c r="E38" t="s">
        <v>154</v>
      </c>
      <c r="F38" t="s">
        <v>20</v>
      </c>
      <c r="G38" t="s">
        <v>21</v>
      </c>
      <c r="H38" t="s">
        <v>155</v>
      </c>
      <c r="I38" t="s">
        <v>23</v>
      </c>
      <c r="J38" t="s">
        <v>65</v>
      </c>
      <c r="K38" s="1" t="s">
        <v>98</v>
      </c>
      <c r="L38" t="s">
        <v>26</v>
      </c>
      <c r="M38">
        <v>25366</v>
      </c>
      <c r="N38">
        <v>-1</v>
      </c>
      <c r="O38" s="2">
        <v>-39990</v>
      </c>
      <c r="P38" s="2">
        <v>17194</v>
      </c>
      <c r="Q38" s="4">
        <f t="shared" si="1"/>
        <v>-33605.042016806721</v>
      </c>
      <c r="R38" s="4">
        <f t="shared" si="2"/>
        <v>-17194</v>
      </c>
      <c r="S38" s="4">
        <f t="shared" si="3"/>
        <v>-16411.042016806721</v>
      </c>
    </row>
    <row r="39" spans="1:19" x14ac:dyDescent="0.3">
      <c r="A39">
        <v>300</v>
      </c>
      <c r="B39" t="s">
        <v>16</v>
      </c>
      <c r="C39" t="s">
        <v>156</v>
      </c>
      <c r="D39" s="1" t="s">
        <v>157</v>
      </c>
      <c r="E39" t="s">
        <v>158</v>
      </c>
      <c r="F39" t="s">
        <v>20</v>
      </c>
      <c r="G39" t="s">
        <v>21</v>
      </c>
      <c r="H39" t="s">
        <v>159</v>
      </c>
      <c r="I39" t="s">
        <v>23</v>
      </c>
      <c r="J39" t="s">
        <v>31</v>
      </c>
      <c r="K39" s="1" t="s">
        <v>98</v>
      </c>
      <c r="L39" t="s">
        <v>26</v>
      </c>
      <c r="M39">
        <v>25367</v>
      </c>
      <c r="N39">
        <v>-1</v>
      </c>
      <c r="O39" s="2">
        <v>-44091</v>
      </c>
      <c r="P39" s="2">
        <v>22625</v>
      </c>
      <c r="Q39" s="4">
        <f t="shared" si="1"/>
        <v>-37051.26050420168</v>
      </c>
      <c r="R39" s="4">
        <f t="shared" si="2"/>
        <v>-22625</v>
      </c>
      <c r="S39" s="4">
        <f t="shared" si="3"/>
        <v>-14426.26050420168</v>
      </c>
    </row>
    <row r="40" spans="1:19" x14ac:dyDescent="0.3">
      <c r="A40">
        <v>300</v>
      </c>
      <c r="B40" t="s">
        <v>16</v>
      </c>
      <c r="C40" t="s">
        <v>160</v>
      </c>
      <c r="D40" s="1" t="s">
        <v>161</v>
      </c>
      <c r="E40" t="s">
        <v>162</v>
      </c>
      <c r="F40" t="s">
        <v>20</v>
      </c>
      <c r="G40" t="s">
        <v>21</v>
      </c>
      <c r="H40" t="s">
        <v>163</v>
      </c>
      <c r="I40" t="s">
        <v>23</v>
      </c>
      <c r="J40" t="s">
        <v>164</v>
      </c>
      <c r="K40" s="1" t="s">
        <v>98</v>
      </c>
      <c r="L40" t="s">
        <v>26</v>
      </c>
      <c r="M40">
        <v>25368</v>
      </c>
      <c r="N40">
        <v>-1</v>
      </c>
      <c r="O40" s="2">
        <v>-55990</v>
      </c>
      <c r="P40" s="2">
        <v>25671</v>
      </c>
      <c r="Q40" s="4">
        <f t="shared" si="1"/>
        <v>-47050.420168067227</v>
      </c>
      <c r="R40" s="4">
        <f t="shared" si="2"/>
        <v>-25671</v>
      </c>
      <c r="S40" s="4">
        <f t="shared" si="3"/>
        <v>-21379.420168067227</v>
      </c>
    </row>
    <row r="41" spans="1:19" x14ac:dyDescent="0.3">
      <c r="A41">
        <v>300</v>
      </c>
      <c r="B41" t="s">
        <v>16</v>
      </c>
      <c r="C41" t="s">
        <v>165</v>
      </c>
      <c r="D41" s="1" t="s">
        <v>166</v>
      </c>
      <c r="E41" t="s">
        <v>167</v>
      </c>
      <c r="F41" t="s">
        <v>20</v>
      </c>
      <c r="G41" t="s">
        <v>21</v>
      </c>
      <c r="H41" t="s">
        <v>168</v>
      </c>
      <c r="I41" t="s">
        <v>23</v>
      </c>
      <c r="J41" t="s">
        <v>65</v>
      </c>
      <c r="K41" s="1" t="s">
        <v>98</v>
      </c>
      <c r="L41" t="s">
        <v>26</v>
      </c>
      <c r="M41">
        <v>25369</v>
      </c>
      <c r="N41">
        <v>-1</v>
      </c>
      <c r="O41" s="2">
        <v>-49950</v>
      </c>
      <c r="P41" s="2">
        <v>15732</v>
      </c>
      <c r="Q41" s="4">
        <f t="shared" si="1"/>
        <v>-41974.789915966387</v>
      </c>
      <c r="R41" s="4">
        <f t="shared" si="2"/>
        <v>-15732</v>
      </c>
      <c r="S41" s="4">
        <f t="shared" si="3"/>
        <v>-26242.789915966387</v>
      </c>
    </row>
    <row r="42" spans="1:19" x14ac:dyDescent="0.3">
      <c r="A42">
        <v>300</v>
      </c>
      <c r="B42" t="s">
        <v>16</v>
      </c>
      <c r="C42" t="s">
        <v>169</v>
      </c>
      <c r="D42" s="1" t="s">
        <v>170</v>
      </c>
      <c r="E42" t="s">
        <v>171</v>
      </c>
      <c r="F42" t="s">
        <v>20</v>
      </c>
      <c r="G42" t="s">
        <v>21</v>
      </c>
      <c r="H42" t="s">
        <v>172</v>
      </c>
      <c r="I42" t="s">
        <v>23</v>
      </c>
      <c r="J42" t="s">
        <v>31</v>
      </c>
      <c r="K42" s="1" t="s">
        <v>98</v>
      </c>
      <c r="L42" t="s">
        <v>26</v>
      </c>
      <c r="M42">
        <v>25370</v>
      </c>
      <c r="N42">
        <v>-1</v>
      </c>
      <c r="O42" s="2">
        <v>-34990</v>
      </c>
      <c r="P42" s="2">
        <v>24972</v>
      </c>
      <c r="Q42" s="4">
        <f t="shared" si="1"/>
        <v>-29403.361344537818</v>
      </c>
      <c r="R42" s="4">
        <f t="shared" si="2"/>
        <v>-24972</v>
      </c>
      <c r="S42" s="4">
        <f t="shared" si="3"/>
        <v>-4431.3613445378178</v>
      </c>
    </row>
    <row r="43" spans="1:19" x14ac:dyDescent="0.3">
      <c r="A43">
        <v>300</v>
      </c>
      <c r="B43" t="s">
        <v>16</v>
      </c>
      <c r="C43" t="s">
        <v>173</v>
      </c>
      <c r="D43" s="1" t="s">
        <v>174</v>
      </c>
      <c r="E43" t="s">
        <v>175</v>
      </c>
      <c r="F43" t="s">
        <v>20</v>
      </c>
      <c r="G43" t="s">
        <v>21</v>
      </c>
      <c r="H43" t="s">
        <v>176</v>
      </c>
      <c r="I43" t="s">
        <v>23</v>
      </c>
      <c r="J43" t="s">
        <v>65</v>
      </c>
      <c r="K43" s="1" t="s">
        <v>98</v>
      </c>
      <c r="L43" t="s">
        <v>26</v>
      </c>
      <c r="M43">
        <v>25371</v>
      </c>
      <c r="N43">
        <v>-1</v>
      </c>
      <c r="O43" s="2">
        <v>-51990</v>
      </c>
      <c r="P43" s="2">
        <v>26880</v>
      </c>
      <c r="Q43" s="4">
        <f t="shared" si="1"/>
        <v>-43689.075630252104</v>
      </c>
      <c r="R43" s="4">
        <f t="shared" si="2"/>
        <v>-26880</v>
      </c>
      <c r="S43" s="4">
        <f t="shared" si="3"/>
        <v>-16809.075630252104</v>
      </c>
    </row>
    <row r="44" spans="1:19" x14ac:dyDescent="0.3">
      <c r="A44">
        <v>300</v>
      </c>
      <c r="B44" t="s">
        <v>16</v>
      </c>
      <c r="C44" t="s">
        <v>177</v>
      </c>
      <c r="D44" s="1" t="s">
        <v>178</v>
      </c>
      <c r="E44" t="s">
        <v>179</v>
      </c>
      <c r="F44" t="s">
        <v>20</v>
      </c>
      <c r="G44" t="s">
        <v>21</v>
      </c>
      <c r="H44" t="s">
        <v>180</v>
      </c>
      <c r="I44" t="s">
        <v>23</v>
      </c>
      <c r="J44" t="s">
        <v>65</v>
      </c>
      <c r="K44" s="1" t="s">
        <v>98</v>
      </c>
      <c r="L44" t="s">
        <v>26</v>
      </c>
      <c r="M44">
        <v>25372</v>
      </c>
      <c r="N44">
        <v>-1</v>
      </c>
      <c r="O44" s="2">
        <v>-54990</v>
      </c>
      <c r="P44" s="2">
        <v>28528</v>
      </c>
      <c r="Q44" s="4">
        <f t="shared" si="1"/>
        <v>-46210.08403361345</v>
      </c>
      <c r="R44" s="4">
        <f t="shared" si="2"/>
        <v>-28528</v>
      </c>
      <c r="S44" s="4">
        <f t="shared" si="3"/>
        <v>-17682.08403361345</v>
      </c>
    </row>
    <row r="45" spans="1:19" x14ac:dyDescent="0.3">
      <c r="A45">
        <v>300</v>
      </c>
      <c r="B45" t="s">
        <v>16</v>
      </c>
      <c r="C45" t="s">
        <v>181</v>
      </c>
      <c r="D45" s="1" t="s">
        <v>182</v>
      </c>
      <c r="E45" t="s">
        <v>183</v>
      </c>
      <c r="F45" t="s">
        <v>20</v>
      </c>
      <c r="G45" t="s">
        <v>21</v>
      </c>
      <c r="H45" t="s">
        <v>184</v>
      </c>
      <c r="I45" t="s">
        <v>23</v>
      </c>
      <c r="J45" t="s">
        <v>31</v>
      </c>
      <c r="K45" s="1" t="s">
        <v>98</v>
      </c>
      <c r="L45" t="s">
        <v>26</v>
      </c>
      <c r="M45">
        <v>25373</v>
      </c>
      <c r="N45">
        <v>-1</v>
      </c>
      <c r="O45" s="2">
        <v>-48990</v>
      </c>
      <c r="P45" s="2">
        <v>26030</v>
      </c>
      <c r="Q45" s="4">
        <f t="shared" si="1"/>
        <v>-41168.067226890758</v>
      </c>
      <c r="R45" s="4">
        <f t="shared" si="2"/>
        <v>-26030</v>
      </c>
      <c r="S45" s="4">
        <f t="shared" si="3"/>
        <v>-15138.067226890758</v>
      </c>
    </row>
    <row r="46" spans="1:19" x14ac:dyDescent="0.3">
      <c r="A46">
        <v>300</v>
      </c>
      <c r="B46" t="s">
        <v>16</v>
      </c>
      <c r="C46" t="s">
        <v>185</v>
      </c>
      <c r="D46" s="1" t="s">
        <v>186</v>
      </c>
      <c r="E46" t="s">
        <v>187</v>
      </c>
      <c r="F46" t="s">
        <v>20</v>
      </c>
      <c r="G46" t="s">
        <v>21</v>
      </c>
      <c r="H46" t="s">
        <v>188</v>
      </c>
      <c r="I46" t="s">
        <v>23</v>
      </c>
      <c r="J46" t="s">
        <v>44</v>
      </c>
      <c r="K46" s="1" t="s">
        <v>98</v>
      </c>
      <c r="L46" t="s">
        <v>26</v>
      </c>
      <c r="M46">
        <v>25374</v>
      </c>
      <c r="N46">
        <v>-1</v>
      </c>
      <c r="O46" s="2">
        <v>-48990</v>
      </c>
      <c r="P46" s="2">
        <v>28039</v>
      </c>
      <c r="Q46" s="4">
        <f t="shared" si="1"/>
        <v>-41168.067226890758</v>
      </c>
      <c r="R46" s="4">
        <f t="shared" si="2"/>
        <v>-28039</v>
      </c>
      <c r="S46" s="4">
        <f t="shared" si="3"/>
        <v>-13129.067226890758</v>
      </c>
    </row>
    <row r="47" spans="1:19" x14ac:dyDescent="0.3">
      <c r="A47">
        <v>300</v>
      </c>
      <c r="B47" t="s">
        <v>16</v>
      </c>
      <c r="C47" t="s">
        <v>189</v>
      </c>
      <c r="D47" s="1" t="s">
        <v>190</v>
      </c>
      <c r="E47" t="s">
        <v>93</v>
      </c>
      <c r="F47" t="s">
        <v>20</v>
      </c>
      <c r="G47" t="s">
        <v>21</v>
      </c>
      <c r="H47" t="s">
        <v>94</v>
      </c>
      <c r="I47" t="s">
        <v>23</v>
      </c>
      <c r="J47" t="s">
        <v>49</v>
      </c>
      <c r="K47" s="1" t="s">
        <v>98</v>
      </c>
      <c r="L47" t="s">
        <v>26</v>
      </c>
      <c r="M47">
        <v>25375</v>
      </c>
      <c r="N47">
        <v>-1</v>
      </c>
      <c r="O47" s="2">
        <v>-34990</v>
      </c>
      <c r="P47" s="2">
        <v>19177</v>
      </c>
      <c r="Q47" s="4">
        <f t="shared" si="1"/>
        <v>-29403.361344537818</v>
      </c>
      <c r="R47" s="4">
        <f t="shared" si="2"/>
        <v>-19177</v>
      </c>
      <c r="S47" s="4">
        <f t="shared" si="3"/>
        <v>-10226.361344537818</v>
      </c>
    </row>
    <row r="48" spans="1:19" x14ac:dyDescent="0.3">
      <c r="A48">
        <v>300</v>
      </c>
      <c r="B48" t="s">
        <v>16</v>
      </c>
      <c r="C48" t="s">
        <v>191</v>
      </c>
      <c r="D48" s="1" t="s">
        <v>192</v>
      </c>
      <c r="E48" t="s">
        <v>193</v>
      </c>
      <c r="F48" t="s">
        <v>20</v>
      </c>
      <c r="G48" t="s">
        <v>21</v>
      </c>
      <c r="H48" t="s">
        <v>147</v>
      </c>
      <c r="I48" t="s">
        <v>23</v>
      </c>
      <c r="J48" t="s">
        <v>31</v>
      </c>
      <c r="K48" s="1" t="s">
        <v>98</v>
      </c>
      <c r="L48" t="s">
        <v>26</v>
      </c>
      <c r="M48">
        <v>25376</v>
      </c>
      <c r="N48">
        <v>-1</v>
      </c>
      <c r="O48" s="2">
        <v>-44990</v>
      </c>
      <c r="P48" s="2">
        <v>26532</v>
      </c>
      <c r="Q48" s="4">
        <f t="shared" si="1"/>
        <v>-37806.722689075636</v>
      </c>
      <c r="R48" s="4">
        <f t="shared" si="2"/>
        <v>-26532</v>
      </c>
      <c r="S48" s="4">
        <f t="shared" si="3"/>
        <v>-11274.722689075636</v>
      </c>
    </row>
    <row r="49" spans="1:19" x14ac:dyDescent="0.3">
      <c r="A49">
        <v>300</v>
      </c>
      <c r="B49" t="s">
        <v>16</v>
      </c>
      <c r="C49" t="s">
        <v>194</v>
      </c>
      <c r="D49" s="1" t="s">
        <v>195</v>
      </c>
      <c r="E49" t="s">
        <v>196</v>
      </c>
      <c r="F49" t="s">
        <v>20</v>
      </c>
      <c r="G49" t="s">
        <v>21</v>
      </c>
      <c r="H49" t="s">
        <v>197</v>
      </c>
      <c r="I49" t="s">
        <v>23</v>
      </c>
      <c r="J49" t="s">
        <v>31</v>
      </c>
      <c r="K49" s="1" t="s">
        <v>98</v>
      </c>
      <c r="L49" t="s">
        <v>26</v>
      </c>
      <c r="M49">
        <v>25377</v>
      </c>
      <c r="N49">
        <v>-1</v>
      </c>
      <c r="O49" s="2">
        <v>-34990</v>
      </c>
      <c r="P49" s="2">
        <v>21574</v>
      </c>
      <c r="Q49" s="4">
        <f t="shared" si="1"/>
        <v>-29403.361344537818</v>
      </c>
      <c r="R49" s="4">
        <f t="shared" si="2"/>
        <v>-21574</v>
      </c>
      <c r="S49" s="4">
        <f t="shared" si="3"/>
        <v>-7829.3613445378178</v>
      </c>
    </row>
    <row r="50" spans="1:19" x14ac:dyDescent="0.3">
      <c r="A50">
        <v>300</v>
      </c>
      <c r="B50" t="s">
        <v>16</v>
      </c>
      <c r="C50" t="s">
        <v>198</v>
      </c>
      <c r="D50" s="1" t="s">
        <v>199</v>
      </c>
      <c r="E50" t="s">
        <v>200</v>
      </c>
      <c r="F50" t="s">
        <v>20</v>
      </c>
      <c r="G50" t="s">
        <v>21</v>
      </c>
      <c r="H50" t="s">
        <v>201</v>
      </c>
      <c r="I50" t="s">
        <v>23</v>
      </c>
      <c r="J50" t="s">
        <v>49</v>
      </c>
      <c r="K50" s="1" t="s">
        <v>98</v>
      </c>
      <c r="L50" t="s">
        <v>26</v>
      </c>
      <c r="M50">
        <v>25378</v>
      </c>
      <c r="N50">
        <v>-1</v>
      </c>
      <c r="O50" s="2">
        <v>-38990</v>
      </c>
      <c r="P50" s="2">
        <v>25494</v>
      </c>
      <c r="Q50" s="4">
        <f t="shared" si="1"/>
        <v>-32764.705882352944</v>
      </c>
      <c r="R50" s="4">
        <f t="shared" si="2"/>
        <v>-25494</v>
      </c>
      <c r="S50" s="4">
        <f t="shared" si="3"/>
        <v>-7270.7058823529442</v>
      </c>
    </row>
    <row r="51" spans="1:19" x14ac:dyDescent="0.3">
      <c r="A51">
        <v>300</v>
      </c>
      <c r="B51" t="s">
        <v>16</v>
      </c>
      <c r="C51" t="s">
        <v>202</v>
      </c>
      <c r="D51" s="1" t="s">
        <v>203</v>
      </c>
      <c r="E51" t="s">
        <v>204</v>
      </c>
      <c r="F51" t="s">
        <v>20</v>
      </c>
      <c r="G51" t="s">
        <v>21</v>
      </c>
      <c r="H51" t="s">
        <v>205</v>
      </c>
      <c r="I51" t="s">
        <v>23</v>
      </c>
      <c r="J51" t="s">
        <v>49</v>
      </c>
      <c r="K51" s="1" t="s">
        <v>98</v>
      </c>
      <c r="L51" t="s">
        <v>26</v>
      </c>
      <c r="M51">
        <v>25379</v>
      </c>
      <c r="N51">
        <v>-1</v>
      </c>
      <c r="O51" s="2">
        <v>-51990</v>
      </c>
      <c r="P51" s="2">
        <v>32163</v>
      </c>
      <c r="Q51" s="4">
        <f t="shared" si="1"/>
        <v>-43689.075630252104</v>
      </c>
      <c r="R51" s="4">
        <f t="shared" si="2"/>
        <v>-32163</v>
      </c>
      <c r="S51" s="4">
        <f t="shared" si="3"/>
        <v>-11526.075630252104</v>
      </c>
    </row>
    <row r="52" spans="1:19" x14ac:dyDescent="0.3">
      <c r="A52">
        <v>300</v>
      </c>
      <c r="B52" t="s">
        <v>16</v>
      </c>
      <c r="C52" t="s">
        <v>206</v>
      </c>
      <c r="D52" s="1" t="s">
        <v>207</v>
      </c>
      <c r="E52" t="s">
        <v>208</v>
      </c>
      <c r="F52" t="s">
        <v>20</v>
      </c>
      <c r="G52" t="s">
        <v>21</v>
      </c>
      <c r="H52" t="s">
        <v>94</v>
      </c>
      <c r="I52" t="s">
        <v>23</v>
      </c>
      <c r="J52" t="s">
        <v>209</v>
      </c>
      <c r="K52" s="1" t="s">
        <v>210</v>
      </c>
      <c r="L52" t="s">
        <v>26</v>
      </c>
      <c r="M52">
        <v>25389</v>
      </c>
      <c r="N52">
        <v>-1</v>
      </c>
      <c r="O52" s="2">
        <v>-59990</v>
      </c>
      <c r="P52" s="2">
        <v>34857</v>
      </c>
      <c r="Q52" s="4">
        <f t="shared" si="1"/>
        <v>-50411.764705882357</v>
      </c>
      <c r="R52" s="4">
        <f t="shared" si="2"/>
        <v>-34857</v>
      </c>
      <c r="S52" s="4">
        <f t="shared" si="3"/>
        <v>-15554.764705882357</v>
      </c>
    </row>
    <row r="53" spans="1:19" x14ac:dyDescent="0.3">
      <c r="A53">
        <v>300</v>
      </c>
      <c r="B53" t="s">
        <v>16</v>
      </c>
      <c r="C53" t="s">
        <v>211</v>
      </c>
      <c r="D53" s="1" t="s">
        <v>212</v>
      </c>
      <c r="E53" t="s">
        <v>213</v>
      </c>
      <c r="F53" t="s">
        <v>20</v>
      </c>
      <c r="G53" t="s">
        <v>21</v>
      </c>
      <c r="H53" t="s">
        <v>214</v>
      </c>
      <c r="I53" t="s">
        <v>23</v>
      </c>
      <c r="J53" t="s">
        <v>49</v>
      </c>
      <c r="K53" s="1" t="s">
        <v>210</v>
      </c>
      <c r="L53" t="s">
        <v>26</v>
      </c>
      <c r="M53">
        <v>25390</v>
      </c>
      <c r="N53">
        <v>-1</v>
      </c>
      <c r="O53" s="2">
        <v>-69951</v>
      </c>
      <c r="P53" s="2">
        <v>27883</v>
      </c>
      <c r="Q53" s="4">
        <f t="shared" si="1"/>
        <v>-58782.352941176476</v>
      </c>
      <c r="R53" s="4">
        <f t="shared" si="2"/>
        <v>-27883</v>
      </c>
      <c r="S53" s="4">
        <f t="shared" si="3"/>
        <v>-30899.352941176476</v>
      </c>
    </row>
    <row r="54" spans="1:19" x14ac:dyDescent="0.3">
      <c r="A54">
        <v>300</v>
      </c>
      <c r="B54" t="s">
        <v>16</v>
      </c>
      <c r="C54" t="s">
        <v>215</v>
      </c>
      <c r="D54" s="1" t="s">
        <v>216</v>
      </c>
      <c r="E54" t="s">
        <v>217</v>
      </c>
      <c r="F54" t="s">
        <v>20</v>
      </c>
      <c r="G54" t="s">
        <v>21</v>
      </c>
      <c r="H54" t="s">
        <v>218</v>
      </c>
      <c r="I54" t="s">
        <v>23</v>
      </c>
      <c r="J54" t="s">
        <v>49</v>
      </c>
      <c r="K54" s="1" t="s">
        <v>210</v>
      </c>
      <c r="L54" t="s">
        <v>26</v>
      </c>
      <c r="M54">
        <v>25391</v>
      </c>
      <c r="N54">
        <v>-1</v>
      </c>
      <c r="O54" s="2">
        <v>-39990</v>
      </c>
      <c r="P54" s="2">
        <v>24399</v>
      </c>
      <c r="Q54" s="4">
        <f t="shared" si="1"/>
        <v>-33605.042016806721</v>
      </c>
      <c r="R54" s="4">
        <f t="shared" si="2"/>
        <v>-24399</v>
      </c>
      <c r="S54" s="4">
        <f t="shared" si="3"/>
        <v>-9206.0420168067212</v>
      </c>
    </row>
    <row r="55" spans="1:19" x14ac:dyDescent="0.3">
      <c r="A55">
        <v>300</v>
      </c>
      <c r="B55" t="s">
        <v>16</v>
      </c>
      <c r="C55" t="s">
        <v>219</v>
      </c>
      <c r="D55" s="1" t="s">
        <v>220</v>
      </c>
      <c r="E55" t="s">
        <v>221</v>
      </c>
      <c r="F55" t="s">
        <v>20</v>
      </c>
      <c r="G55" t="s">
        <v>21</v>
      </c>
      <c r="H55" t="s">
        <v>222</v>
      </c>
      <c r="I55" t="s">
        <v>23</v>
      </c>
      <c r="J55" t="s">
        <v>49</v>
      </c>
      <c r="K55" s="1" t="s">
        <v>223</v>
      </c>
      <c r="L55" t="s">
        <v>26</v>
      </c>
      <c r="M55">
        <v>25401</v>
      </c>
      <c r="N55">
        <v>-1</v>
      </c>
      <c r="O55" s="2">
        <v>-34990</v>
      </c>
      <c r="P55" s="2">
        <v>26223</v>
      </c>
      <c r="Q55" s="4">
        <f t="shared" si="1"/>
        <v>-29403.361344537818</v>
      </c>
      <c r="R55" s="4">
        <f t="shared" si="2"/>
        <v>-26223</v>
      </c>
      <c r="S55" s="4">
        <f t="shared" si="3"/>
        <v>-3180.3613445378178</v>
      </c>
    </row>
    <row r="56" spans="1:19" x14ac:dyDescent="0.3">
      <c r="A56">
        <v>300</v>
      </c>
      <c r="B56" t="s">
        <v>16</v>
      </c>
      <c r="C56" t="s">
        <v>224</v>
      </c>
      <c r="D56" s="1" t="s">
        <v>225</v>
      </c>
      <c r="E56" t="s">
        <v>226</v>
      </c>
      <c r="F56" t="s">
        <v>20</v>
      </c>
      <c r="G56" t="s">
        <v>21</v>
      </c>
      <c r="H56" t="s">
        <v>227</v>
      </c>
      <c r="I56" t="s">
        <v>23</v>
      </c>
      <c r="J56" t="s">
        <v>65</v>
      </c>
      <c r="K56" s="1" t="s">
        <v>223</v>
      </c>
      <c r="L56" t="s">
        <v>26</v>
      </c>
      <c r="M56">
        <v>25401</v>
      </c>
      <c r="N56">
        <v>-1</v>
      </c>
      <c r="O56" s="2">
        <v>-79950</v>
      </c>
      <c r="P56" s="2">
        <v>30690</v>
      </c>
      <c r="Q56" s="4">
        <f t="shared" si="1"/>
        <v>-67184.873949579836</v>
      </c>
      <c r="R56" s="4">
        <f t="shared" si="2"/>
        <v>-30690</v>
      </c>
      <c r="S56" s="4">
        <f t="shared" si="3"/>
        <v>-36494.873949579836</v>
      </c>
    </row>
    <row r="57" spans="1:19" x14ac:dyDescent="0.3">
      <c r="A57">
        <v>300</v>
      </c>
      <c r="B57" t="s">
        <v>16</v>
      </c>
      <c r="C57" t="s">
        <v>228</v>
      </c>
      <c r="D57" s="1" t="s">
        <v>229</v>
      </c>
      <c r="E57" t="s">
        <v>230</v>
      </c>
      <c r="F57" t="s">
        <v>20</v>
      </c>
      <c r="G57" t="s">
        <v>21</v>
      </c>
      <c r="H57" t="s">
        <v>231</v>
      </c>
      <c r="I57" t="s">
        <v>23</v>
      </c>
      <c r="J57" t="s">
        <v>24</v>
      </c>
      <c r="K57" s="1" t="s">
        <v>232</v>
      </c>
      <c r="L57" t="s">
        <v>26</v>
      </c>
      <c r="M57">
        <v>25402</v>
      </c>
      <c r="N57">
        <v>-1</v>
      </c>
      <c r="O57" s="2">
        <v>-49990</v>
      </c>
      <c r="P57" s="2">
        <v>28415</v>
      </c>
      <c r="Q57" s="4">
        <f t="shared" si="1"/>
        <v>-42008.403361344543</v>
      </c>
      <c r="R57" s="4">
        <f t="shared" si="2"/>
        <v>-28415</v>
      </c>
      <c r="S57" s="4">
        <f t="shared" si="3"/>
        <v>-13593.403361344543</v>
      </c>
    </row>
    <row r="58" spans="1:19" x14ac:dyDescent="0.3">
      <c r="A58">
        <v>300</v>
      </c>
      <c r="B58" t="s">
        <v>16</v>
      </c>
      <c r="C58">
        <v>1687976791</v>
      </c>
      <c r="D58" s="1" t="s">
        <v>233</v>
      </c>
      <c r="E58" t="s">
        <v>234</v>
      </c>
      <c r="F58" t="s">
        <v>234</v>
      </c>
      <c r="G58" t="s">
        <v>235</v>
      </c>
      <c r="H58" t="s">
        <v>235</v>
      </c>
      <c r="I58" t="s">
        <v>23</v>
      </c>
      <c r="J58" t="s">
        <v>235</v>
      </c>
      <c r="K58" s="1" t="s">
        <v>232</v>
      </c>
      <c r="L58" t="s">
        <v>26</v>
      </c>
      <c r="M58">
        <v>25403</v>
      </c>
      <c r="N58">
        <v>-1</v>
      </c>
      <c r="O58" s="2">
        <v>-7190</v>
      </c>
      <c r="P58">
        <v>1</v>
      </c>
      <c r="Q58" s="4">
        <f t="shared" si="1"/>
        <v>-6042.0168067226896</v>
      </c>
      <c r="R58" s="4">
        <f t="shared" si="2"/>
        <v>-1</v>
      </c>
      <c r="S58" s="4">
        <f t="shared" si="3"/>
        <v>-6041.0168067226896</v>
      </c>
    </row>
    <row r="59" spans="1:19" x14ac:dyDescent="0.3">
      <c r="A59">
        <v>300</v>
      </c>
      <c r="B59" t="s">
        <v>16</v>
      </c>
      <c r="C59">
        <v>1687976791</v>
      </c>
      <c r="D59" s="1" t="s">
        <v>233</v>
      </c>
      <c r="E59" t="s">
        <v>234</v>
      </c>
      <c r="F59" t="s">
        <v>234</v>
      </c>
      <c r="G59" t="s">
        <v>235</v>
      </c>
      <c r="H59" t="s">
        <v>235</v>
      </c>
      <c r="I59" t="s">
        <v>23</v>
      </c>
      <c r="J59" t="s">
        <v>235</v>
      </c>
      <c r="K59" s="1" t="s">
        <v>232</v>
      </c>
      <c r="L59" t="s">
        <v>26</v>
      </c>
      <c r="M59">
        <v>25404</v>
      </c>
      <c r="N59">
        <v>-1</v>
      </c>
      <c r="O59" s="2">
        <v>-3200</v>
      </c>
      <c r="P59">
        <v>1</v>
      </c>
      <c r="Q59" s="4">
        <f t="shared" si="1"/>
        <v>-2689.0756302521008</v>
      </c>
      <c r="R59" s="4">
        <f t="shared" si="2"/>
        <v>-1</v>
      </c>
      <c r="S59" s="4">
        <f t="shared" si="3"/>
        <v>-2688.0756302521008</v>
      </c>
    </row>
    <row r="60" spans="1:19" x14ac:dyDescent="0.3">
      <c r="A60">
        <v>300</v>
      </c>
      <c r="B60" t="s">
        <v>16</v>
      </c>
      <c r="C60" t="s">
        <v>236</v>
      </c>
      <c r="D60" s="1" t="s">
        <v>237</v>
      </c>
      <c r="E60" t="s">
        <v>238</v>
      </c>
      <c r="F60" t="s">
        <v>20</v>
      </c>
      <c r="G60" t="s">
        <v>21</v>
      </c>
      <c r="H60" t="s">
        <v>239</v>
      </c>
      <c r="I60" t="s">
        <v>23</v>
      </c>
      <c r="J60" t="s">
        <v>65</v>
      </c>
      <c r="K60" s="1" t="s">
        <v>232</v>
      </c>
      <c r="L60" t="s">
        <v>26</v>
      </c>
      <c r="M60">
        <v>25404</v>
      </c>
      <c r="N60">
        <v>-1</v>
      </c>
      <c r="O60" s="2">
        <v>-34990</v>
      </c>
      <c r="P60" s="2">
        <v>15744</v>
      </c>
      <c r="Q60" s="4">
        <f t="shared" si="1"/>
        <v>-29403.361344537818</v>
      </c>
      <c r="R60" s="4">
        <f t="shared" si="2"/>
        <v>-15744</v>
      </c>
      <c r="S60" s="4">
        <f t="shared" si="3"/>
        <v>-13659.361344537818</v>
      </c>
    </row>
    <row r="61" spans="1:19" x14ac:dyDescent="0.3">
      <c r="A61">
        <v>300</v>
      </c>
      <c r="B61" t="s">
        <v>16</v>
      </c>
      <c r="C61" t="s">
        <v>240</v>
      </c>
      <c r="D61" s="1" t="s">
        <v>241</v>
      </c>
      <c r="E61" t="s">
        <v>242</v>
      </c>
      <c r="F61" t="s">
        <v>20</v>
      </c>
      <c r="G61" t="s">
        <v>21</v>
      </c>
      <c r="H61" t="s">
        <v>243</v>
      </c>
      <c r="I61" t="s">
        <v>23</v>
      </c>
      <c r="J61" t="s">
        <v>65</v>
      </c>
      <c r="K61" s="1" t="s">
        <v>232</v>
      </c>
      <c r="L61" t="s">
        <v>26</v>
      </c>
      <c r="M61">
        <v>25405</v>
      </c>
      <c r="N61">
        <v>-1</v>
      </c>
      <c r="O61" s="2">
        <v>-48990</v>
      </c>
      <c r="P61" s="2">
        <v>21031</v>
      </c>
      <c r="Q61" s="4">
        <f t="shared" si="1"/>
        <v>-41168.067226890758</v>
      </c>
      <c r="R61" s="4">
        <f t="shared" si="2"/>
        <v>-21031</v>
      </c>
      <c r="S61" s="4">
        <f t="shared" si="3"/>
        <v>-20137.067226890758</v>
      </c>
    </row>
    <row r="62" spans="1:19" x14ac:dyDescent="0.3">
      <c r="A62">
        <v>300</v>
      </c>
      <c r="B62" t="s">
        <v>16</v>
      </c>
      <c r="C62" t="s">
        <v>139</v>
      </c>
      <c r="D62" s="1" t="s">
        <v>140</v>
      </c>
      <c r="E62" t="s">
        <v>47</v>
      </c>
      <c r="F62" t="s">
        <v>20</v>
      </c>
      <c r="G62" t="s">
        <v>21</v>
      </c>
      <c r="H62" t="s">
        <v>48</v>
      </c>
      <c r="I62" t="s">
        <v>23</v>
      </c>
      <c r="J62" t="s">
        <v>49</v>
      </c>
      <c r="K62" s="1" t="s">
        <v>232</v>
      </c>
      <c r="L62" t="s">
        <v>26</v>
      </c>
      <c r="M62">
        <v>25406</v>
      </c>
      <c r="N62">
        <v>-1</v>
      </c>
      <c r="O62" s="2">
        <v>-44990</v>
      </c>
      <c r="P62" s="2">
        <v>27536</v>
      </c>
      <c r="Q62" s="4">
        <f t="shared" si="1"/>
        <v>-37806.722689075636</v>
      </c>
      <c r="R62" s="4">
        <f t="shared" si="2"/>
        <v>-27536</v>
      </c>
      <c r="S62" s="4">
        <f t="shared" si="3"/>
        <v>-10270.722689075636</v>
      </c>
    </row>
    <row r="63" spans="1:19" x14ac:dyDescent="0.3">
      <c r="A63">
        <v>300</v>
      </c>
      <c r="B63" t="s">
        <v>16</v>
      </c>
      <c r="C63" t="s">
        <v>244</v>
      </c>
      <c r="D63" s="1" t="s">
        <v>245</v>
      </c>
      <c r="E63" t="s">
        <v>246</v>
      </c>
      <c r="F63" t="s">
        <v>20</v>
      </c>
      <c r="G63" t="s">
        <v>21</v>
      </c>
      <c r="H63" t="s">
        <v>184</v>
      </c>
      <c r="I63" t="s">
        <v>23</v>
      </c>
      <c r="J63" t="s">
        <v>31</v>
      </c>
      <c r="K63" s="1" t="s">
        <v>232</v>
      </c>
      <c r="L63" t="s">
        <v>26</v>
      </c>
      <c r="M63">
        <v>25407</v>
      </c>
      <c r="N63">
        <v>-1</v>
      </c>
      <c r="O63" s="2">
        <v>-39990</v>
      </c>
      <c r="P63" s="2">
        <v>30124</v>
      </c>
      <c r="Q63" s="4">
        <f t="shared" si="1"/>
        <v>-33605.042016806721</v>
      </c>
      <c r="R63" s="4">
        <f t="shared" si="2"/>
        <v>-30124</v>
      </c>
      <c r="S63" s="4">
        <f t="shared" si="3"/>
        <v>-3481.0420168067212</v>
      </c>
    </row>
    <row r="64" spans="1:19" x14ac:dyDescent="0.3">
      <c r="A64">
        <v>300</v>
      </c>
      <c r="B64" t="s">
        <v>16</v>
      </c>
      <c r="C64" t="s">
        <v>247</v>
      </c>
      <c r="D64" s="1" t="s">
        <v>248</v>
      </c>
      <c r="E64" t="s">
        <v>249</v>
      </c>
      <c r="F64" t="s">
        <v>20</v>
      </c>
      <c r="G64" t="s">
        <v>21</v>
      </c>
      <c r="H64" t="s">
        <v>138</v>
      </c>
      <c r="I64" t="s">
        <v>23</v>
      </c>
      <c r="J64" t="s">
        <v>31</v>
      </c>
      <c r="K64" s="1" t="s">
        <v>232</v>
      </c>
      <c r="L64" t="s">
        <v>26</v>
      </c>
      <c r="M64">
        <v>25408</v>
      </c>
      <c r="N64">
        <v>-1</v>
      </c>
      <c r="O64" s="2">
        <v>-48990</v>
      </c>
      <c r="P64" s="2">
        <v>25208</v>
      </c>
      <c r="Q64" s="4">
        <f t="shared" si="1"/>
        <v>-41168.067226890758</v>
      </c>
      <c r="R64" s="4">
        <f t="shared" si="2"/>
        <v>-25208</v>
      </c>
      <c r="S64" s="4">
        <f t="shared" si="3"/>
        <v>-15960.067226890758</v>
      </c>
    </row>
    <row r="65" spans="1:19" x14ac:dyDescent="0.3">
      <c r="A65">
        <v>300</v>
      </c>
      <c r="B65" t="s">
        <v>16</v>
      </c>
      <c r="C65" t="s">
        <v>191</v>
      </c>
      <c r="D65" s="1" t="s">
        <v>192</v>
      </c>
      <c r="E65" t="s">
        <v>193</v>
      </c>
      <c r="F65" t="s">
        <v>20</v>
      </c>
      <c r="G65" t="s">
        <v>21</v>
      </c>
      <c r="H65" t="s">
        <v>147</v>
      </c>
      <c r="I65" t="s">
        <v>23</v>
      </c>
      <c r="J65" t="s">
        <v>31</v>
      </c>
      <c r="K65" s="1" t="s">
        <v>232</v>
      </c>
      <c r="L65" t="s">
        <v>26</v>
      </c>
      <c r="M65">
        <v>25409</v>
      </c>
      <c r="N65">
        <v>-1</v>
      </c>
      <c r="O65" s="2">
        <v>-44990</v>
      </c>
      <c r="P65" s="2">
        <v>26532</v>
      </c>
      <c r="Q65" s="4">
        <f t="shared" si="1"/>
        <v>-37806.722689075636</v>
      </c>
      <c r="R65" s="4">
        <f t="shared" si="2"/>
        <v>-26532</v>
      </c>
      <c r="S65" s="4">
        <f t="shared" si="3"/>
        <v>-11274.722689075636</v>
      </c>
    </row>
    <row r="66" spans="1:19" x14ac:dyDescent="0.3">
      <c r="A66">
        <v>300</v>
      </c>
      <c r="B66" t="s">
        <v>16</v>
      </c>
      <c r="C66" t="s">
        <v>250</v>
      </c>
      <c r="D66" s="1" t="s">
        <v>251</v>
      </c>
      <c r="E66" t="s">
        <v>252</v>
      </c>
      <c r="F66" t="s">
        <v>20</v>
      </c>
      <c r="G66" t="s">
        <v>21</v>
      </c>
      <c r="H66" t="s">
        <v>253</v>
      </c>
      <c r="I66" t="s">
        <v>23</v>
      </c>
      <c r="J66" t="s">
        <v>49</v>
      </c>
      <c r="K66" s="1" t="s">
        <v>232</v>
      </c>
      <c r="L66" t="s">
        <v>26</v>
      </c>
      <c r="M66">
        <v>25410</v>
      </c>
      <c r="N66">
        <v>-1</v>
      </c>
      <c r="O66" s="2">
        <v>-39990</v>
      </c>
      <c r="P66" s="2">
        <v>26043</v>
      </c>
      <c r="Q66" s="4">
        <f t="shared" si="1"/>
        <v>-33605.042016806721</v>
      </c>
      <c r="R66" s="4">
        <f t="shared" si="2"/>
        <v>-26043</v>
      </c>
      <c r="S66" s="4">
        <f t="shared" si="3"/>
        <v>-7562.0420168067212</v>
      </c>
    </row>
    <row r="67" spans="1:19" x14ac:dyDescent="0.3">
      <c r="A67">
        <v>300</v>
      </c>
      <c r="B67" t="s">
        <v>16</v>
      </c>
      <c r="C67" t="s">
        <v>254</v>
      </c>
      <c r="D67" s="1" t="s">
        <v>255</v>
      </c>
      <c r="E67" t="s">
        <v>256</v>
      </c>
      <c r="F67" t="s">
        <v>20</v>
      </c>
      <c r="G67" t="s">
        <v>21</v>
      </c>
      <c r="H67" t="s">
        <v>257</v>
      </c>
      <c r="I67" t="s">
        <v>23</v>
      </c>
      <c r="J67" t="s">
        <v>49</v>
      </c>
      <c r="K67" s="1" t="s">
        <v>232</v>
      </c>
      <c r="L67" t="s">
        <v>26</v>
      </c>
      <c r="M67">
        <v>25411</v>
      </c>
      <c r="N67">
        <v>-1</v>
      </c>
      <c r="O67" s="2">
        <v>-59990</v>
      </c>
      <c r="P67" s="2">
        <v>22864</v>
      </c>
      <c r="Q67" s="4">
        <f t="shared" si="1"/>
        <v>-50411.764705882357</v>
      </c>
      <c r="R67" s="4">
        <f t="shared" si="2"/>
        <v>-22864</v>
      </c>
      <c r="S67" s="4">
        <f t="shared" si="3"/>
        <v>-27547.764705882357</v>
      </c>
    </row>
    <row r="68" spans="1:19" x14ac:dyDescent="0.3">
      <c r="A68">
        <v>300</v>
      </c>
      <c r="B68" t="s">
        <v>16</v>
      </c>
      <c r="C68" t="s">
        <v>258</v>
      </c>
      <c r="D68" s="1" t="s">
        <v>259</v>
      </c>
      <c r="E68" t="s">
        <v>42</v>
      </c>
      <c r="F68" t="s">
        <v>20</v>
      </c>
      <c r="G68" t="s">
        <v>21</v>
      </c>
      <c r="H68" t="s">
        <v>43</v>
      </c>
      <c r="I68" t="s">
        <v>23</v>
      </c>
      <c r="J68" t="s">
        <v>44</v>
      </c>
      <c r="K68" s="1" t="s">
        <v>232</v>
      </c>
      <c r="L68" t="s">
        <v>26</v>
      </c>
      <c r="M68">
        <v>25412</v>
      </c>
      <c r="N68">
        <v>-1</v>
      </c>
      <c r="O68" s="2">
        <v>-34990</v>
      </c>
      <c r="P68" s="2">
        <v>20494</v>
      </c>
      <c r="Q68" s="4">
        <f t="shared" si="1"/>
        <v>-29403.361344537818</v>
      </c>
      <c r="R68" s="4">
        <f t="shared" si="2"/>
        <v>-20494</v>
      </c>
      <c r="S68" s="4">
        <f t="shared" si="3"/>
        <v>-8909.3613445378178</v>
      </c>
    </row>
    <row r="69" spans="1:19" x14ac:dyDescent="0.3">
      <c r="A69">
        <v>300</v>
      </c>
      <c r="B69" t="s">
        <v>16</v>
      </c>
      <c r="C69" t="s">
        <v>260</v>
      </c>
      <c r="D69" s="1" t="s">
        <v>261</v>
      </c>
      <c r="E69" t="s">
        <v>221</v>
      </c>
      <c r="F69" t="s">
        <v>20</v>
      </c>
      <c r="G69" t="s">
        <v>21</v>
      </c>
      <c r="H69" t="s">
        <v>222</v>
      </c>
      <c r="I69" t="s">
        <v>23</v>
      </c>
      <c r="J69" t="s">
        <v>49</v>
      </c>
      <c r="K69" s="1" t="s">
        <v>232</v>
      </c>
      <c r="L69" t="s">
        <v>26</v>
      </c>
      <c r="M69">
        <v>25413</v>
      </c>
      <c r="N69">
        <v>-1</v>
      </c>
      <c r="O69" s="2">
        <v>-41990</v>
      </c>
      <c r="P69" s="2">
        <v>26226</v>
      </c>
      <c r="Q69" s="4">
        <f t="shared" ref="Q69:Q132" si="4">O69/1.19</f>
        <v>-35285.71428571429</v>
      </c>
      <c r="R69" s="4">
        <f t="shared" ref="R69:R132" si="5">N69*P69</f>
        <v>-26226</v>
      </c>
      <c r="S69" s="4">
        <f t="shared" ref="S69:S132" si="6">Q69-R69</f>
        <v>-9059.7142857142899</v>
      </c>
    </row>
    <row r="70" spans="1:19" x14ac:dyDescent="0.3">
      <c r="A70">
        <v>300</v>
      </c>
      <c r="B70" t="s">
        <v>16</v>
      </c>
      <c r="C70" t="s">
        <v>262</v>
      </c>
      <c r="D70" s="1" t="s">
        <v>263</v>
      </c>
      <c r="E70" t="s">
        <v>264</v>
      </c>
      <c r="F70" t="s">
        <v>20</v>
      </c>
      <c r="G70" t="s">
        <v>21</v>
      </c>
      <c r="H70" t="s">
        <v>265</v>
      </c>
      <c r="I70" t="s">
        <v>23</v>
      </c>
      <c r="J70" t="s">
        <v>31</v>
      </c>
      <c r="K70" s="1" t="s">
        <v>232</v>
      </c>
      <c r="L70" t="s">
        <v>26</v>
      </c>
      <c r="M70">
        <v>25414</v>
      </c>
      <c r="N70">
        <v>-1</v>
      </c>
      <c r="O70" s="2">
        <v>-29990</v>
      </c>
      <c r="P70" s="2">
        <v>15655</v>
      </c>
      <c r="Q70" s="4">
        <f t="shared" si="4"/>
        <v>-25201.680672268907</v>
      </c>
      <c r="R70" s="4">
        <f t="shared" si="5"/>
        <v>-15655</v>
      </c>
      <c r="S70" s="4">
        <f t="shared" si="6"/>
        <v>-9546.6806722689071</v>
      </c>
    </row>
    <row r="71" spans="1:19" x14ac:dyDescent="0.3">
      <c r="A71">
        <v>300</v>
      </c>
      <c r="B71" t="s">
        <v>16</v>
      </c>
      <c r="C71" t="s">
        <v>141</v>
      </c>
      <c r="D71" s="1" t="s">
        <v>142</v>
      </c>
      <c r="E71" t="s">
        <v>143</v>
      </c>
      <c r="F71" t="s">
        <v>20</v>
      </c>
      <c r="G71" t="s">
        <v>21</v>
      </c>
      <c r="H71" t="s">
        <v>43</v>
      </c>
      <c r="I71" t="s">
        <v>23</v>
      </c>
      <c r="J71" t="s">
        <v>44</v>
      </c>
      <c r="K71" s="1" t="s">
        <v>232</v>
      </c>
      <c r="L71" t="s">
        <v>26</v>
      </c>
      <c r="M71">
        <v>25415</v>
      </c>
      <c r="N71">
        <v>-1</v>
      </c>
      <c r="O71" s="2">
        <v>-34990</v>
      </c>
      <c r="P71" s="2">
        <v>20109</v>
      </c>
      <c r="Q71" s="4">
        <f t="shared" si="4"/>
        <v>-29403.361344537818</v>
      </c>
      <c r="R71" s="4">
        <f t="shared" si="5"/>
        <v>-20109</v>
      </c>
      <c r="S71" s="4">
        <f t="shared" si="6"/>
        <v>-9294.3613445378178</v>
      </c>
    </row>
    <row r="72" spans="1:19" x14ac:dyDescent="0.3">
      <c r="A72">
        <v>300</v>
      </c>
      <c r="B72" t="s">
        <v>16</v>
      </c>
      <c r="C72" t="s">
        <v>266</v>
      </c>
      <c r="D72" s="1" t="s">
        <v>267</v>
      </c>
      <c r="E72" t="s">
        <v>55</v>
      </c>
      <c r="F72" t="s">
        <v>20</v>
      </c>
      <c r="G72" t="s">
        <v>21</v>
      </c>
      <c r="H72" t="s">
        <v>56</v>
      </c>
      <c r="I72" t="s">
        <v>23</v>
      </c>
      <c r="J72" t="s">
        <v>49</v>
      </c>
      <c r="K72" s="1" t="s">
        <v>232</v>
      </c>
      <c r="L72" t="s">
        <v>26</v>
      </c>
      <c r="M72">
        <v>25416</v>
      </c>
      <c r="N72">
        <v>-1</v>
      </c>
      <c r="O72" s="2">
        <v>-39990</v>
      </c>
      <c r="P72" s="2">
        <v>21167</v>
      </c>
      <c r="Q72" s="4">
        <f t="shared" si="4"/>
        <v>-33605.042016806721</v>
      </c>
      <c r="R72" s="4">
        <f t="shared" si="5"/>
        <v>-21167</v>
      </c>
      <c r="S72" s="4">
        <f t="shared" si="6"/>
        <v>-12438.042016806721</v>
      </c>
    </row>
    <row r="73" spans="1:19" x14ac:dyDescent="0.3">
      <c r="A73">
        <v>300</v>
      </c>
      <c r="B73" t="s">
        <v>16</v>
      </c>
      <c r="C73" t="s">
        <v>268</v>
      </c>
      <c r="D73" s="1" t="s">
        <v>269</v>
      </c>
      <c r="E73" t="s">
        <v>270</v>
      </c>
      <c r="F73" t="s">
        <v>20</v>
      </c>
      <c r="G73" t="s">
        <v>21</v>
      </c>
      <c r="H73" t="s">
        <v>271</v>
      </c>
      <c r="I73" t="s">
        <v>23</v>
      </c>
      <c r="J73" t="s">
        <v>65</v>
      </c>
      <c r="K73" s="1" t="s">
        <v>232</v>
      </c>
      <c r="L73" t="s">
        <v>26</v>
      </c>
      <c r="M73">
        <v>25417</v>
      </c>
      <c r="N73">
        <v>-1</v>
      </c>
      <c r="O73" s="2">
        <v>-34990</v>
      </c>
      <c r="P73" s="2">
        <v>17439</v>
      </c>
      <c r="Q73" s="4">
        <f t="shared" si="4"/>
        <v>-29403.361344537818</v>
      </c>
      <c r="R73" s="4">
        <f t="shared" si="5"/>
        <v>-17439</v>
      </c>
      <c r="S73" s="4">
        <f t="shared" si="6"/>
        <v>-11964.361344537818</v>
      </c>
    </row>
    <row r="74" spans="1:19" x14ac:dyDescent="0.3">
      <c r="A74">
        <v>300</v>
      </c>
      <c r="B74" t="s">
        <v>16</v>
      </c>
      <c r="C74" t="s">
        <v>272</v>
      </c>
      <c r="D74" s="1" t="s">
        <v>273</v>
      </c>
      <c r="E74" t="s">
        <v>274</v>
      </c>
      <c r="F74" t="s">
        <v>20</v>
      </c>
      <c r="G74" t="s">
        <v>21</v>
      </c>
      <c r="H74" t="s">
        <v>114</v>
      </c>
      <c r="I74" t="s">
        <v>23</v>
      </c>
      <c r="J74" t="s">
        <v>65</v>
      </c>
      <c r="K74" s="1" t="s">
        <v>232</v>
      </c>
      <c r="L74" t="s">
        <v>26</v>
      </c>
      <c r="M74">
        <v>25418</v>
      </c>
      <c r="N74">
        <v>-1</v>
      </c>
      <c r="O74" s="2">
        <v>-34990</v>
      </c>
      <c r="P74" s="2">
        <v>29471</v>
      </c>
      <c r="Q74" s="4">
        <f t="shared" si="4"/>
        <v>-29403.361344537818</v>
      </c>
      <c r="R74" s="4">
        <f t="shared" si="5"/>
        <v>-29471</v>
      </c>
      <c r="S74" s="4">
        <f t="shared" si="6"/>
        <v>67.638655462182214</v>
      </c>
    </row>
    <row r="75" spans="1:19" x14ac:dyDescent="0.3">
      <c r="A75">
        <v>300</v>
      </c>
      <c r="B75" t="s">
        <v>16</v>
      </c>
      <c r="C75" t="s">
        <v>275</v>
      </c>
      <c r="D75" s="1" t="s">
        <v>276</v>
      </c>
      <c r="E75" t="s">
        <v>277</v>
      </c>
      <c r="F75" t="s">
        <v>20</v>
      </c>
      <c r="G75" t="s">
        <v>21</v>
      </c>
      <c r="H75" t="s">
        <v>278</v>
      </c>
      <c r="I75" t="s">
        <v>23</v>
      </c>
      <c r="J75" t="s">
        <v>49</v>
      </c>
      <c r="K75" s="1" t="s">
        <v>232</v>
      </c>
      <c r="L75" t="s">
        <v>26</v>
      </c>
      <c r="M75">
        <v>25419</v>
      </c>
      <c r="N75">
        <v>-1</v>
      </c>
      <c r="O75" s="2">
        <v>-44990</v>
      </c>
      <c r="P75" s="2">
        <v>25178</v>
      </c>
      <c r="Q75" s="4">
        <f t="shared" si="4"/>
        <v>-37806.722689075636</v>
      </c>
      <c r="R75" s="4">
        <f t="shared" si="5"/>
        <v>-25178</v>
      </c>
      <c r="S75" s="4">
        <f t="shared" si="6"/>
        <v>-12628.722689075636</v>
      </c>
    </row>
    <row r="76" spans="1:19" x14ac:dyDescent="0.3">
      <c r="A76">
        <v>300</v>
      </c>
      <c r="B76" t="s">
        <v>16</v>
      </c>
      <c r="C76" t="s">
        <v>279</v>
      </c>
      <c r="D76" s="1" t="s">
        <v>280</v>
      </c>
      <c r="E76" t="s">
        <v>281</v>
      </c>
      <c r="F76" t="s">
        <v>20</v>
      </c>
      <c r="G76" t="s">
        <v>21</v>
      </c>
      <c r="H76" t="s">
        <v>282</v>
      </c>
      <c r="I76" t="s">
        <v>23</v>
      </c>
      <c r="J76" t="s">
        <v>31</v>
      </c>
      <c r="K76" s="1" t="s">
        <v>232</v>
      </c>
      <c r="L76" t="s">
        <v>26</v>
      </c>
      <c r="M76">
        <v>25420</v>
      </c>
      <c r="N76">
        <v>-1</v>
      </c>
      <c r="O76" s="2">
        <v>-34990</v>
      </c>
      <c r="P76" s="2">
        <v>27463</v>
      </c>
      <c r="Q76" s="4">
        <f t="shared" si="4"/>
        <v>-29403.361344537818</v>
      </c>
      <c r="R76" s="4">
        <f t="shared" si="5"/>
        <v>-27463</v>
      </c>
      <c r="S76" s="4">
        <f t="shared" si="6"/>
        <v>-1940.3613445378178</v>
      </c>
    </row>
    <row r="77" spans="1:19" x14ac:dyDescent="0.3">
      <c r="A77">
        <v>300</v>
      </c>
      <c r="B77" t="s">
        <v>16</v>
      </c>
      <c r="C77" t="s">
        <v>283</v>
      </c>
      <c r="D77" s="1" t="s">
        <v>284</v>
      </c>
      <c r="E77" t="s">
        <v>285</v>
      </c>
      <c r="F77" t="s">
        <v>20</v>
      </c>
      <c r="G77" t="s">
        <v>21</v>
      </c>
      <c r="H77" t="s">
        <v>130</v>
      </c>
      <c r="I77" t="s">
        <v>23</v>
      </c>
      <c r="J77" t="s">
        <v>65</v>
      </c>
      <c r="K77" s="1" t="s">
        <v>232</v>
      </c>
      <c r="L77" t="s">
        <v>26</v>
      </c>
      <c r="M77">
        <v>25421</v>
      </c>
      <c r="N77">
        <v>-1</v>
      </c>
      <c r="O77" s="2">
        <v>-39990</v>
      </c>
      <c r="P77" s="2">
        <v>22881</v>
      </c>
      <c r="Q77" s="4">
        <f t="shared" si="4"/>
        <v>-33605.042016806721</v>
      </c>
      <c r="R77" s="4">
        <f t="shared" si="5"/>
        <v>-22881</v>
      </c>
      <c r="S77" s="4">
        <f t="shared" si="6"/>
        <v>-10724.042016806721</v>
      </c>
    </row>
    <row r="78" spans="1:19" x14ac:dyDescent="0.3">
      <c r="A78">
        <v>300</v>
      </c>
      <c r="B78" t="s">
        <v>16</v>
      </c>
      <c r="C78" t="s">
        <v>286</v>
      </c>
      <c r="D78" s="1" t="s">
        <v>287</v>
      </c>
      <c r="E78" t="s">
        <v>288</v>
      </c>
      <c r="F78" t="s">
        <v>20</v>
      </c>
      <c r="G78" t="s">
        <v>21</v>
      </c>
      <c r="H78" t="s">
        <v>289</v>
      </c>
      <c r="I78" t="s">
        <v>23</v>
      </c>
      <c r="J78" t="s">
        <v>65</v>
      </c>
      <c r="K78" s="1" t="s">
        <v>232</v>
      </c>
      <c r="L78" t="s">
        <v>26</v>
      </c>
      <c r="M78">
        <v>25422</v>
      </c>
      <c r="N78">
        <v>-1</v>
      </c>
      <c r="O78" s="2">
        <v>-39990</v>
      </c>
      <c r="P78" s="2">
        <v>28634</v>
      </c>
      <c r="Q78" s="4">
        <f t="shared" si="4"/>
        <v>-33605.042016806721</v>
      </c>
      <c r="R78" s="4">
        <f t="shared" si="5"/>
        <v>-28634</v>
      </c>
      <c r="S78" s="4">
        <f t="shared" si="6"/>
        <v>-4971.0420168067212</v>
      </c>
    </row>
    <row r="79" spans="1:19" x14ac:dyDescent="0.3">
      <c r="A79">
        <v>300</v>
      </c>
      <c r="B79" t="s">
        <v>16</v>
      </c>
      <c r="C79" t="s">
        <v>290</v>
      </c>
      <c r="D79" s="1" t="s">
        <v>291</v>
      </c>
      <c r="E79" t="s">
        <v>292</v>
      </c>
      <c r="F79" t="s">
        <v>20</v>
      </c>
      <c r="G79" t="s">
        <v>21</v>
      </c>
      <c r="H79" t="s">
        <v>293</v>
      </c>
      <c r="I79" t="s">
        <v>23</v>
      </c>
      <c r="J79" t="s">
        <v>294</v>
      </c>
      <c r="K79" s="1" t="s">
        <v>295</v>
      </c>
      <c r="L79" t="s">
        <v>26</v>
      </c>
      <c r="M79">
        <v>25423</v>
      </c>
      <c r="N79">
        <v>-1</v>
      </c>
      <c r="O79" s="2">
        <v>-29989</v>
      </c>
      <c r="P79" s="2">
        <v>22800</v>
      </c>
      <c r="Q79" s="4">
        <f t="shared" si="4"/>
        <v>-25200.840336134454</v>
      </c>
      <c r="R79" s="4">
        <f t="shared" si="5"/>
        <v>-22800</v>
      </c>
      <c r="S79" s="4">
        <f t="shared" si="6"/>
        <v>-2400.8403361344535</v>
      </c>
    </row>
    <row r="80" spans="1:19" x14ac:dyDescent="0.3">
      <c r="A80">
        <v>300</v>
      </c>
      <c r="B80" t="s">
        <v>16</v>
      </c>
      <c r="C80" t="s">
        <v>296</v>
      </c>
      <c r="D80" s="1" t="s">
        <v>297</v>
      </c>
      <c r="E80" t="s">
        <v>179</v>
      </c>
      <c r="F80" t="s">
        <v>20</v>
      </c>
      <c r="G80" t="s">
        <v>21</v>
      </c>
      <c r="H80" t="s">
        <v>180</v>
      </c>
      <c r="I80" t="s">
        <v>23</v>
      </c>
      <c r="J80" t="s">
        <v>65</v>
      </c>
      <c r="K80" s="1" t="s">
        <v>295</v>
      </c>
      <c r="L80" t="s">
        <v>26</v>
      </c>
      <c r="M80">
        <v>25424</v>
      </c>
      <c r="N80">
        <v>-1</v>
      </c>
      <c r="O80" s="2">
        <v>-49990</v>
      </c>
      <c r="P80" s="2">
        <v>28528</v>
      </c>
      <c r="Q80" s="4">
        <f t="shared" si="4"/>
        <v>-42008.403361344543</v>
      </c>
      <c r="R80" s="4">
        <f t="shared" si="5"/>
        <v>-28528</v>
      </c>
      <c r="S80" s="4">
        <f t="shared" si="6"/>
        <v>-13480.403361344543</v>
      </c>
    </row>
    <row r="81" spans="1:19" x14ac:dyDescent="0.3">
      <c r="A81">
        <v>300</v>
      </c>
      <c r="B81" t="s">
        <v>16</v>
      </c>
      <c r="C81" t="s">
        <v>298</v>
      </c>
      <c r="D81" s="1" t="s">
        <v>299</v>
      </c>
      <c r="E81" t="s">
        <v>300</v>
      </c>
      <c r="F81" t="s">
        <v>20</v>
      </c>
      <c r="G81" t="s">
        <v>21</v>
      </c>
      <c r="H81" t="s">
        <v>301</v>
      </c>
      <c r="I81" t="s">
        <v>23</v>
      </c>
      <c r="J81" t="s">
        <v>65</v>
      </c>
      <c r="K81" s="1" t="s">
        <v>295</v>
      </c>
      <c r="L81" t="s">
        <v>26</v>
      </c>
      <c r="M81">
        <v>25425</v>
      </c>
      <c r="N81">
        <v>-1</v>
      </c>
      <c r="O81" s="2">
        <v>-39990</v>
      </c>
      <c r="P81" s="2">
        <v>24944</v>
      </c>
      <c r="Q81" s="4">
        <f t="shared" si="4"/>
        <v>-33605.042016806721</v>
      </c>
      <c r="R81" s="4">
        <f t="shared" si="5"/>
        <v>-24944</v>
      </c>
      <c r="S81" s="4">
        <f t="shared" si="6"/>
        <v>-8661.0420168067212</v>
      </c>
    </row>
    <row r="82" spans="1:19" x14ac:dyDescent="0.3">
      <c r="A82">
        <v>300</v>
      </c>
      <c r="B82" t="s">
        <v>16</v>
      </c>
      <c r="C82" t="s">
        <v>302</v>
      </c>
      <c r="D82" s="1" t="s">
        <v>303</v>
      </c>
      <c r="E82" t="s">
        <v>304</v>
      </c>
      <c r="F82" t="s">
        <v>20</v>
      </c>
      <c r="G82" t="s">
        <v>21</v>
      </c>
      <c r="H82" t="s">
        <v>305</v>
      </c>
      <c r="I82" t="s">
        <v>23</v>
      </c>
      <c r="J82" t="s">
        <v>31</v>
      </c>
      <c r="K82" s="1" t="s">
        <v>306</v>
      </c>
      <c r="L82" t="s">
        <v>26</v>
      </c>
      <c r="M82">
        <v>25426</v>
      </c>
      <c r="N82">
        <v>-1</v>
      </c>
      <c r="O82" s="2">
        <v>-59990</v>
      </c>
      <c r="P82" s="2">
        <v>25441</v>
      </c>
      <c r="Q82" s="4">
        <f t="shared" si="4"/>
        <v>-50411.764705882357</v>
      </c>
      <c r="R82" s="4">
        <f t="shared" si="5"/>
        <v>-25441</v>
      </c>
      <c r="S82" s="4">
        <f t="shared" si="6"/>
        <v>-24970.764705882357</v>
      </c>
    </row>
    <row r="83" spans="1:19" x14ac:dyDescent="0.3">
      <c r="A83">
        <v>300</v>
      </c>
      <c r="B83" t="s">
        <v>16</v>
      </c>
      <c r="C83" t="s">
        <v>307</v>
      </c>
      <c r="D83" s="1" t="s">
        <v>308</v>
      </c>
      <c r="E83" t="s">
        <v>309</v>
      </c>
      <c r="F83" t="s">
        <v>20</v>
      </c>
      <c r="G83" t="s">
        <v>21</v>
      </c>
      <c r="H83" t="s">
        <v>301</v>
      </c>
      <c r="I83" t="s">
        <v>23</v>
      </c>
      <c r="J83" t="s">
        <v>65</v>
      </c>
      <c r="K83" s="1" t="s">
        <v>306</v>
      </c>
      <c r="L83" t="s">
        <v>26</v>
      </c>
      <c r="M83">
        <v>25427</v>
      </c>
      <c r="N83">
        <v>-1</v>
      </c>
      <c r="O83" s="2">
        <v>-74950</v>
      </c>
      <c r="P83" s="2">
        <v>25136</v>
      </c>
      <c r="Q83" s="4">
        <f t="shared" si="4"/>
        <v>-62983.193277310929</v>
      </c>
      <c r="R83" s="4">
        <f t="shared" si="5"/>
        <v>-25136</v>
      </c>
      <c r="S83" s="4">
        <f t="shared" si="6"/>
        <v>-37847.193277310929</v>
      </c>
    </row>
    <row r="84" spans="1:19" x14ac:dyDescent="0.3">
      <c r="A84">
        <v>300</v>
      </c>
      <c r="B84" t="s">
        <v>16</v>
      </c>
      <c r="C84" t="s">
        <v>310</v>
      </c>
      <c r="D84" s="1" t="s">
        <v>311</v>
      </c>
      <c r="E84" t="s">
        <v>288</v>
      </c>
      <c r="F84" t="s">
        <v>20</v>
      </c>
      <c r="G84" t="s">
        <v>21</v>
      </c>
      <c r="H84" t="s">
        <v>289</v>
      </c>
      <c r="I84" t="s">
        <v>23</v>
      </c>
      <c r="J84" t="s">
        <v>65</v>
      </c>
      <c r="K84" s="1" t="s">
        <v>306</v>
      </c>
      <c r="L84" t="s">
        <v>26</v>
      </c>
      <c r="M84">
        <v>25428</v>
      </c>
      <c r="N84">
        <v>-1</v>
      </c>
      <c r="O84" s="2">
        <v>-34990</v>
      </c>
      <c r="P84" s="2">
        <v>28634</v>
      </c>
      <c r="Q84" s="4">
        <f t="shared" si="4"/>
        <v>-29403.361344537818</v>
      </c>
      <c r="R84" s="4">
        <f t="shared" si="5"/>
        <v>-28634</v>
      </c>
      <c r="S84" s="4">
        <f t="shared" si="6"/>
        <v>-769.36134453781779</v>
      </c>
    </row>
    <row r="85" spans="1:19" x14ac:dyDescent="0.3">
      <c r="A85">
        <v>300</v>
      </c>
      <c r="B85" t="s">
        <v>16</v>
      </c>
      <c r="C85" t="s">
        <v>312</v>
      </c>
      <c r="D85" s="1" t="s">
        <v>313</v>
      </c>
      <c r="E85" t="s">
        <v>314</v>
      </c>
      <c r="F85" t="s">
        <v>20</v>
      </c>
      <c r="G85" t="s">
        <v>21</v>
      </c>
      <c r="H85" t="s">
        <v>72</v>
      </c>
      <c r="I85" t="s">
        <v>23</v>
      </c>
      <c r="J85" t="s">
        <v>44</v>
      </c>
      <c r="K85" s="1" t="s">
        <v>306</v>
      </c>
      <c r="L85" t="s">
        <v>26</v>
      </c>
      <c r="M85">
        <v>25429</v>
      </c>
      <c r="N85">
        <v>-1</v>
      </c>
      <c r="O85" s="2">
        <v>-49990</v>
      </c>
      <c r="P85" s="2">
        <v>25975</v>
      </c>
      <c r="Q85" s="4">
        <f t="shared" si="4"/>
        <v>-42008.403361344543</v>
      </c>
      <c r="R85" s="4">
        <f t="shared" si="5"/>
        <v>-25975</v>
      </c>
      <c r="S85" s="4">
        <f t="shared" si="6"/>
        <v>-16033.403361344543</v>
      </c>
    </row>
    <row r="86" spans="1:19" x14ac:dyDescent="0.3">
      <c r="A86">
        <v>300</v>
      </c>
      <c r="B86" t="s">
        <v>16</v>
      </c>
      <c r="C86" t="s">
        <v>315</v>
      </c>
      <c r="D86" s="1" t="s">
        <v>316</v>
      </c>
      <c r="E86" t="s">
        <v>274</v>
      </c>
      <c r="F86" t="s">
        <v>20</v>
      </c>
      <c r="G86" t="s">
        <v>21</v>
      </c>
      <c r="H86" t="s">
        <v>114</v>
      </c>
      <c r="I86" t="s">
        <v>23</v>
      </c>
      <c r="J86" t="s">
        <v>65</v>
      </c>
      <c r="K86" s="1" t="s">
        <v>306</v>
      </c>
      <c r="L86" t="s">
        <v>26</v>
      </c>
      <c r="M86">
        <v>25430</v>
      </c>
      <c r="N86">
        <v>-1</v>
      </c>
      <c r="O86" s="2">
        <v>-34990</v>
      </c>
      <c r="P86" s="2">
        <v>29395</v>
      </c>
      <c r="Q86" s="4">
        <f t="shared" si="4"/>
        <v>-29403.361344537818</v>
      </c>
      <c r="R86" s="4">
        <f t="shared" si="5"/>
        <v>-29395</v>
      </c>
      <c r="S86" s="4">
        <f t="shared" si="6"/>
        <v>-8.3613445378177857</v>
      </c>
    </row>
    <row r="87" spans="1:19" x14ac:dyDescent="0.3">
      <c r="A87">
        <v>300</v>
      </c>
      <c r="B87" t="s">
        <v>16</v>
      </c>
      <c r="C87" t="s">
        <v>317</v>
      </c>
      <c r="D87" s="1" t="s">
        <v>318</v>
      </c>
      <c r="E87" t="s">
        <v>319</v>
      </c>
      <c r="F87" t="s">
        <v>20</v>
      </c>
      <c r="G87" t="s">
        <v>21</v>
      </c>
      <c r="H87" t="s">
        <v>320</v>
      </c>
      <c r="I87" t="s">
        <v>23</v>
      </c>
      <c r="J87" t="s">
        <v>24</v>
      </c>
      <c r="K87" s="1" t="s">
        <v>306</v>
      </c>
      <c r="L87" t="s">
        <v>26</v>
      </c>
      <c r="M87">
        <v>25431</v>
      </c>
      <c r="N87">
        <v>-1</v>
      </c>
      <c r="O87" s="2">
        <v>-54990</v>
      </c>
      <c r="P87" s="2">
        <v>34587</v>
      </c>
      <c r="Q87" s="4">
        <f t="shared" si="4"/>
        <v>-46210.08403361345</v>
      </c>
      <c r="R87" s="4">
        <f t="shared" si="5"/>
        <v>-34587</v>
      </c>
      <c r="S87" s="4">
        <f t="shared" si="6"/>
        <v>-11623.08403361345</v>
      </c>
    </row>
    <row r="88" spans="1:19" x14ac:dyDescent="0.3">
      <c r="A88">
        <v>300</v>
      </c>
      <c r="B88" t="s">
        <v>16</v>
      </c>
      <c r="C88" t="s">
        <v>321</v>
      </c>
      <c r="D88" s="1" t="s">
        <v>322</v>
      </c>
      <c r="E88" t="s">
        <v>323</v>
      </c>
      <c r="F88" t="s">
        <v>20</v>
      </c>
      <c r="G88" t="s">
        <v>21</v>
      </c>
      <c r="H88" t="s">
        <v>324</v>
      </c>
      <c r="I88" t="s">
        <v>23</v>
      </c>
      <c r="J88" t="s">
        <v>49</v>
      </c>
      <c r="K88" s="1" t="s">
        <v>306</v>
      </c>
      <c r="L88" t="s">
        <v>26</v>
      </c>
      <c r="M88">
        <v>25432</v>
      </c>
      <c r="N88">
        <v>-1</v>
      </c>
      <c r="O88" s="2">
        <v>-44990</v>
      </c>
      <c r="P88" s="2">
        <v>23762</v>
      </c>
      <c r="Q88" s="4">
        <f t="shared" si="4"/>
        <v>-37806.722689075636</v>
      </c>
      <c r="R88" s="4">
        <f t="shared" si="5"/>
        <v>-23762</v>
      </c>
      <c r="S88" s="4">
        <f t="shared" si="6"/>
        <v>-14044.722689075636</v>
      </c>
    </row>
    <row r="89" spans="1:19" x14ac:dyDescent="0.3">
      <c r="A89">
        <v>300</v>
      </c>
      <c r="B89" t="s">
        <v>16</v>
      </c>
      <c r="C89" t="s">
        <v>325</v>
      </c>
      <c r="D89" s="1" t="s">
        <v>326</v>
      </c>
      <c r="E89" t="s">
        <v>327</v>
      </c>
      <c r="F89" t="s">
        <v>20</v>
      </c>
      <c r="G89" t="s">
        <v>21</v>
      </c>
      <c r="H89" t="s">
        <v>328</v>
      </c>
      <c r="I89" t="s">
        <v>23</v>
      </c>
      <c r="J89" t="s">
        <v>49</v>
      </c>
      <c r="K89" s="1" t="s">
        <v>306</v>
      </c>
      <c r="L89" t="s">
        <v>26</v>
      </c>
      <c r="M89">
        <v>25433</v>
      </c>
      <c r="N89">
        <v>-1</v>
      </c>
      <c r="O89" s="2">
        <v>-55990</v>
      </c>
      <c r="P89" s="2">
        <v>27866</v>
      </c>
      <c r="Q89" s="4">
        <f t="shared" si="4"/>
        <v>-47050.420168067227</v>
      </c>
      <c r="R89" s="4">
        <f t="shared" si="5"/>
        <v>-27866</v>
      </c>
      <c r="S89" s="4">
        <f t="shared" si="6"/>
        <v>-19184.420168067227</v>
      </c>
    </row>
    <row r="90" spans="1:19" x14ac:dyDescent="0.3">
      <c r="A90">
        <v>300</v>
      </c>
      <c r="B90" t="s">
        <v>16</v>
      </c>
      <c r="C90" t="s">
        <v>329</v>
      </c>
      <c r="D90" s="1" t="s">
        <v>330</v>
      </c>
      <c r="E90" t="s">
        <v>331</v>
      </c>
      <c r="F90" t="s">
        <v>20</v>
      </c>
      <c r="G90" t="s">
        <v>21</v>
      </c>
      <c r="H90" t="s">
        <v>332</v>
      </c>
      <c r="I90" t="s">
        <v>23</v>
      </c>
      <c r="J90" t="s">
        <v>65</v>
      </c>
      <c r="K90" s="1" t="s">
        <v>306</v>
      </c>
      <c r="L90" t="s">
        <v>26</v>
      </c>
      <c r="M90">
        <v>25434</v>
      </c>
      <c r="N90">
        <v>-1</v>
      </c>
      <c r="O90" s="2">
        <v>-39990</v>
      </c>
      <c r="P90" s="2">
        <v>27534</v>
      </c>
      <c r="Q90" s="4">
        <f t="shared" si="4"/>
        <v>-33605.042016806721</v>
      </c>
      <c r="R90" s="4">
        <f t="shared" si="5"/>
        <v>-27534</v>
      </c>
      <c r="S90" s="4">
        <f t="shared" si="6"/>
        <v>-6071.0420168067212</v>
      </c>
    </row>
    <row r="91" spans="1:19" x14ac:dyDescent="0.3">
      <c r="A91">
        <v>300</v>
      </c>
      <c r="B91" t="s">
        <v>16</v>
      </c>
      <c r="C91" t="s">
        <v>333</v>
      </c>
      <c r="D91" s="1" t="s">
        <v>334</v>
      </c>
      <c r="E91" t="s">
        <v>335</v>
      </c>
      <c r="F91" t="s">
        <v>20</v>
      </c>
      <c r="G91" t="s">
        <v>21</v>
      </c>
      <c r="H91" t="s">
        <v>336</v>
      </c>
      <c r="I91" t="s">
        <v>23</v>
      </c>
      <c r="J91" t="s">
        <v>44</v>
      </c>
      <c r="K91" s="1" t="s">
        <v>306</v>
      </c>
      <c r="L91" t="s">
        <v>26</v>
      </c>
      <c r="M91">
        <v>25435</v>
      </c>
      <c r="N91">
        <v>-1</v>
      </c>
      <c r="O91" s="2">
        <v>-34990</v>
      </c>
      <c r="P91" s="2">
        <v>18485</v>
      </c>
      <c r="Q91" s="4">
        <f t="shared" si="4"/>
        <v>-29403.361344537818</v>
      </c>
      <c r="R91" s="4">
        <f t="shared" si="5"/>
        <v>-18485</v>
      </c>
      <c r="S91" s="4">
        <f t="shared" si="6"/>
        <v>-10918.361344537818</v>
      </c>
    </row>
    <row r="92" spans="1:19" x14ac:dyDescent="0.3">
      <c r="A92">
        <v>300</v>
      </c>
      <c r="B92" t="s">
        <v>16</v>
      </c>
      <c r="C92" t="s">
        <v>337</v>
      </c>
      <c r="D92" s="1" t="s">
        <v>338</v>
      </c>
      <c r="E92" t="s">
        <v>339</v>
      </c>
      <c r="F92" t="s">
        <v>20</v>
      </c>
      <c r="G92" t="s">
        <v>21</v>
      </c>
      <c r="H92" t="s">
        <v>39</v>
      </c>
      <c r="I92" t="s">
        <v>23</v>
      </c>
      <c r="J92" t="s">
        <v>31</v>
      </c>
      <c r="K92" s="1" t="s">
        <v>306</v>
      </c>
      <c r="L92" t="s">
        <v>26</v>
      </c>
      <c r="M92">
        <v>25436</v>
      </c>
      <c r="N92">
        <v>-1</v>
      </c>
      <c r="O92" s="2">
        <v>-36990</v>
      </c>
      <c r="P92" s="2">
        <v>20891</v>
      </c>
      <c r="Q92" s="4">
        <f t="shared" si="4"/>
        <v>-31084.033613445379</v>
      </c>
      <c r="R92" s="4">
        <f t="shared" si="5"/>
        <v>-20891</v>
      </c>
      <c r="S92" s="4">
        <f t="shared" si="6"/>
        <v>-10193.033613445379</v>
      </c>
    </row>
    <row r="93" spans="1:19" x14ac:dyDescent="0.3">
      <c r="A93">
        <v>300</v>
      </c>
      <c r="B93" t="s">
        <v>16</v>
      </c>
      <c r="C93" t="s">
        <v>340</v>
      </c>
      <c r="D93" s="1" t="s">
        <v>341</v>
      </c>
      <c r="E93" t="s">
        <v>342</v>
      </c>
      <c r="F93" t="s">
        <v>20</v>
      </c>
      <c r="G93" t="s">
        <v>21</v>
      </c>
      <c r="H93" t="s">
        <v>343</v>
      </c>
      <c r="I93" t="s">
        <v>23</v>
      </c>
      <c r="J93" t="s">
        <v>24</v>
      </c>
      <c r="K93" s="1" t="s">
        <v>306</v>
      </c>
      <c r="L93" t="s">
        <v>26</v>
      </c>
      <c r="M93">
        <v>25437</v>
      </c>
      <c r="N93">
        <v>-1</v>
      </c>
      <c r="O93" s="2">
        <v>-51990</v>
      </c>
      <c r="P93" s="2">
        <v>29988</v>
      </c>
      <c r="Q93" s="4">
        <f t="shared" si="4"/>
        <v>-43689.075630252104</v>
      </c>
      <c r="R93" s="4">
        <f t="shared" si="5"/>
        <v>-29988</v>
      </c>
      <c r="S93" s="4">
        <f t="shared" si="6"/>
        <v>-13701.075630252104</v>
      </c>
    </row>
    <row r="94" spans="1:19" x14ac:dyDescent="0.3">
      <c r="A94">
        <v>300</v>
      </c>
      <c r="B94" t="s">
        <v>16</v>
      </c>
      <c r="C94" t="s">
        <v>344</v>
      </c>
      <c r="D94" s="1" t="s">
        <v>345</v>
      </c>
      <c r="E94" t="s">
        <v>249</v>
      </c>
      <c r="F94" t="s">
        <v>20</v>
      </c>
      <c r="G94" t="s">
        <v>21</v>
      </c>
      <c r="H94" t="s">
        <v>138</v>
      </c>
      <c r="I94" t="s">
        <v>23</v>
      </c>
      <c r="J94" t="s">
        <v>31</v>
      </c>
      <c r="K94" s="1" t="s">
        <v>346</v>
      </c>
      <c r="L94" t="s">
        <v>26</v>
      </c>
      <c r="M94">
        <v>25438</v>
      </c>
      <c r="N94">
        <v>-1</v>
      </c>
      <c r="O94" s="2">
        <v>-48990</v>
      </c>
      <c r="P94" s="2">
        <v>24705</v>
      </c>
      <c r="Q94" s="4">
        <f t="shared" si="4"/>
        <v>-41168.067226890758</v>
      </c>
      <c r="R94" s="4">
        <f t="shared" si="5"/>
        <v>-24705</v>
      </c>
      <c r="S94" s="4">
        <f t="shared" si="6"/>
        <v>-16463.067226890758</v>
      </c>
    </row>
    <row r="95" spans="1:19" x14ac:dyDescent="0.3">
      <c r="A95">
        <v>300</v>
      </c>
      <c r="B95" t="s">
        <v>16</v>
      </c>
      <c r="C95" t="s">
        <v>347</v>
      </c>
      <c r="D95" s="1" t="s">
        <v>348</v>
      </c>
      <c r="E95" t="s">
        <v>349</v>
      </c>
      <c r="F95" t="s">
        <v>20</v>
      </c>
      <c r="G95" t="s">
        <v>21</v>
      </c>
      <c r="H95" t="s">
        <v>350</v>
      </c>
      <c r="I95" t="s">
        <v>23</v>
      </c>
      <c r="J95" t="s">
        <v>31</v>
      </c>
      <c r="K95" s="1" t="s">
        <v>346</v>
      </c>
      <c r="L95" t="s">
        <v>26</v>
      </c>
      <c r="M95">
        <v>25439</v>
      </c>
      <c r="N95">
        <v>-1</v>
      </c>
      <c r="O95" s="2">
        <v>-64950</v>
      </c>
      <c r="P95" s="2">
        <v>13540</v>
      </c>
      <c r="Q95" s="4">
        <f t="shared" si="4"/>
        <v>-54579.831932773115</v>
      </c>
      <c r="R95" s="4">
        <f t="shared" si="5"/>
        <v>-13540</v>
      </c>
      <c r="S95" s="4">
        <f t="shared" si="6"/>
        <v>-41039.831932773115</v>
      </c>
    </row>
    <row r="96" spans="1:19" x14ac:dyDescent="0.3">
      <c r="A96">
        <v>300</v>
      </c>
      <c r="B96" t="s">
        <v>16</v>
      </c>
      <c r="C96" t="s">
        <v>351</v>
      </c>
      <c r="D96" s="1" t="s">
        <v>352</v>
      </c>
      <c r="E96" t="s">
        <v>353</v>
      </c>
      <c r="F96" t="s">
        <v>20</v>
      </c>
      <c r="G96" t="s">
        <v>21</v>
      </c>
      <c r="H96" t="s">
        <v>350</v>
      </c>
      <c r="I96" t="s">
        <v>23</v>
      </c>
      <c r="J96" t="s">
        <v>31</v>
      </c>
      <c r="K96" s="1" t="s">
        <v>346</v>
      </c>
      <c r="L96" t="s">
        <v>26</v>
      </c>
      <c r="M96">
        <v>25446</v>
      </c>
      <c r="N96">
        <v>-1</v>
      </c>
      <c r="O96" s="2">
        <v>-44990</v>
      </c>
      <c r="P96" s="2">
        <v>22737</v>
      </c>
      <c r="Q96" s="4">
        <f t="shared" si="4"/>
        <v>-37806.722689075636</v>
      </c>
      <c r="R96" s="4">
        <f t="shared" si="5"/>
        <v>-22737</v>
      </c>
      <c r="S96" s="4">
        <f t="shared" si="6"/>
        <v>-15069.722689075636</v>
      </c>
    </row>
    <row r="97" spans="1:19" x14ac:dyDescent="0.3">
      <c r="A97">
        <v>300</v>
      </c>
      <c r="B97" t="s">
        <v>16</v>
      </c>
      <c r="C97" t="s">
        <v>354</v>
      </c>
      <c r="D97" s="1" t="s">
        <v>355</v>
      </c>
      <c r="E97" t="s">
        <v>356</v>
      </c>
      <c r="F97" t="s">
        <v>20</v>
      </c>
      <c r="G97" t="s">
        <v>21</v>
      </c>
      <c r="H97" t="s">
        <v>357</v>
      </c>
      <c r="I97" t="s">
        <v>23</v>
      </c>
      <c r="J97" t="s">
        <v>65</v>
      </c>
      <c r="K97" s="1" t="s">
        <v>346</v>
      </c>
      <c r="L97" t="s">
        <v>26</v>
      </c>
      <c r="M97">
        <v>25447</v>
      </c>
      <c r="N97">
        <v>-1</v>
      </c>
      <c r="O97" s="2">
        <v>-41990</v>
      </c>
      <c r="P97" s="2">
        <v>16817</v>
      </c>
      <c r="Q97" s="4">
        <f t="shared" si="4"/>
        <v>-35285.71428571429</v>
      </c>
      <c r="R97" s="4">
        <f t="shared" si="5"/>
        <v>-16817</v>
      </c>
      <c r="S97" s="4">
        <f t="shared" si="6"/>
        <v>-18468.71428571429</v>
      </c>
    </row>
    <row r="98" spans="1:19" x14ac:dyDescent="0.3">
      <c r="A98">
        <v>300</v>
      </c>
      <c r="B98" t="s">
        <v>16</v>
      </c>
      <c r="C98" t="s">
        <v>358</v>
      </c>
      <c r="D98" s="1" t="s">
        <v>359</v>
      </c>
      <c r="E98" t="s">
        <v>360</v>
      </c>
      <c r="F98" t="s">
        <v>20</v>
      </c>
      <c r="G98" t="s">
        <v>21</v>
      </c>
      <c r="H98" t="s">
        <v>361</v>
      </c>
      <c r="I98" t="s">
        <v>23</v>
      </c>
      <c r="J98" t="s">
        <v>49</v>
      </c>
      <c r="K98" s="1" t="s">
        <v>346</v>
      </c>
      <c r="L98" t="s">
        <v>26</v>
      </c>
      <c r="M98">
        <v>25448</v>
      </c>
      <c r="N98">
        <v>-1</v>
      </c>
      <c r="O98" s="2">
        <v>-44990</v>
      </c>
      <c r="P98" s="2">
        <v>29908</v>
      </c>
      <c r="Q98" s="4">
        <f t="shared" si="4"/>
        <v>-37806.722689075636</v>
      </c>
      <c r="R98" s="4">
        <f t="shared" si="5"/>
        <v>-29908</v>
      </c>
      <c r="S98" s="4">
        <f t="shared" si="6"/>
        <v>-7898.7226890756356</v>
      </c>
    </row>
    <row r="99" spans="1:19" x14ac:dyDescent="0.3">
      <c r="A99">
        <v>300</v>
      </c>
      <c r="B99" t="s">
        <v>16</v>
      </c>
      <c r="C99" t="s">
        <v>362</v>
      </c>
      <c r="D99" s="1" t="s">
        <v>363</v>
      </c>
      <c r="E99" t="s">
        <v>364</v>
      </c>
      <c r="F99" t="s">
        <v>20</v>
      </c>
      <c r="G99" t="s">
        <v>21</v>
      </c>
      <c r="H99" t="s">
        <v>138</v>
      </c>
      <c r="I99" t="s">
        <v>23</v>
      </c>
      <c r="J99" t="s">
        <v>31</v>
      </c>
      <c r="K99" s="1" t="s">
        <v>365</v>
      </c>
      <c r="L99" t="s">
        <v>26</v>
      </c>
      <c r="M99">
        <v>25449</v>
      </c>
      <c r="N99">
        <v>-1</v>
      </c>
      <c r="O99" s="2">
        <v>-34990</v>
      </c>
      <c r="P99" s="2">
        <v>28659</v>
      </c>
      <c r="Q99" s="4">
        <f t="shared" si="4"/>
        <v>-29403.361344537818</v>
      </c>
      <c r="R99" s="4">
        <f t="shared" si="5"/>
        <v>-28659</v>
      </c>
      <c r="S99" s="4">
        <f t="shared" si="6"/>
        <v>-744.36134453781779</v>
      </c>
    </row>
    <row r="100" spans="1:19" x14ac:dyDescent="0.3">
      <c r="A100">
        <v>300</v>
      </c>
      <c r="B100" t="s">
        <v>16</v>
      </c>
      <c r="C100" t="s">
        <v>366</v>
      </c>
      <c r="D100" s="1" t="s">
        <v>367</v>
      </c>
      <c r="E100" t="s">
        <v>368</v>
      </c>
      <c r="F100" t="s">
        <v>20</v>
      </c>
      <c r="G100" t="s">
        <v>21</v>
      </c>
      <c r="H100" t="s">
        <v>369</v>
      </c>
      <c r="I100" t="s">
        <v>23</v>
      </c>
      <c r="J100" t="s">
        <v>65</v>
      </c>
      <c r="K100" s="1" t="s">
        <v>365</v>
      </c>
      <c r="L100" t="s">
        <v>26</v>
      </c>
      <c r="M100">
        <v>25450</v>
      </c>
      <c r="N100">
        <v>-1</v>
      </c>
      <c r="O100" s="2">
        <v>-39990</v>
      </c>
      <c r="P100" s="2">
        <v>17195</v>
      </c>
      <c r="Q100" s="4">
        <f t="shared" si="4"/>
        <v>-33605.042016806721</v>
      </c>
      <c r="R100" s="4">
        <f t="shared" si="5"/>
        <v>-17195</v>
      </c>
      <c r="S100" s="4">
        <f t="shared" si="6"/>
        <v>-16410.042016806721</v>
      </c>
    </row>
    <row r="101" spans="1:19" x14ac:dyDescent="0.3">
      <c r="A101">
        <v>300</v>
      </c>
      <c r="B101" t="s">
        <v>16</v>
      </c>
      <c r="C101" t="s">
        <v>370</v>
      </c>
      <c r="D101" s="1" t="s">
        <v>371</v>
      </c>
      <c r="E101" t="s">
        <v>372</v>
      </c>
      <c r="F101" t="s">
        <v>20</v>
      </c>
      <c r="G101" t="s">
        <v>21</v>
      </c>
      <c r="H101" t="s">
        <v>172</v>
      </c>
      <c r="I101" t="s">
        <v>23</v>
      </c>
      <c r="J101" t="s">
        <v>31</v>
      </c>
      <c r="K101" s="1" t="s">
        <v>365</v>
      </c>
      <c r="L101" t="s">
        <v>26</v>
      </c>
      <c r="M101">
        <v>25451</v>
      </c>
      <c r="N101">
        <v>-1</v>
      </c>
      <c r="O101" s="2">
        <v>-34990</v>
      </c>
      <c r="P101" s="2">
        <v>26446</v>
      </c>
      <c r="Q101" s="4">
        <f t="shared" si="4"/>
        <v>-29403.361344537818</v>
      </c>
      <c r="R101" s="4">
        <f t="shared" si="5"/>
        <v>-26446</v>
      </c>
      <c r="S101" s="4">
        <f t="shared" si="6"/>
        <v>-2957.3613445378178</v>
      </c>
    </row>
    <row r="102" spans="1:19" x14ac:dyDescent="0.3">
      <c r="A102">
        <v>300</v>
      </c>
      <c r="B102" t="s">
        <v>16</v>
      </c>
      <c r="C102" t="s">
        <v>373</v>
      </c>
      <c r="D102" s="1" t="s">
        <v>374</v>
      </c>
      <c r="E102" t="s">
        <v>372</v>
      </c>
      <c r="F102" t="s">
        <v>20</v>
      </c>
      <c r="G102" t="s">
        <v>21</v>
      </c>
      <c r="H102" t="s">
        <v>172</v>
      </c>
      <c r="I102" t="s">
        <v>23</v>
      </c>
      <c r="J102" t="s">
        <v>31</v>
      </c>
      <c r="K102" s="1" t="s">
        <v>365</v>
      </c>
      <c r="L102" t="s">
        <v>26</v>
      </c>
      <c r="M102">
        <v>25452</v>
      </c>
      <c r="N102">
        <v>-1</v>
      </c>
      <c r="O102" s="2">
        <v>-34990</v>
      </c>
      <c r="P102" s="2">
        <v>26377</v>
      </c>
      <c r="Q102" s="4">
        <f t="shared" si="4"/>
        <v>-29403.361344537818</v>
      </c>
      <c r="R102" s="4">
        <f t="shared" si="5"/>
        <v>-26377</v>
      </c>
      <c r="S102" s="4">
        <f t="shared" si="6"/>
        <v>-3026.3613445378178</v>
      </c>
    </row>
    <row r="103" spans="1:19" x14ac:dyDescent="0.3">
      <c r="A103">
        <v>300</v>
      </c>
      <c r="B103" t="s">
        <v>16</v>
      </c>
      <c r="C103" t="s">
        <v>375</v>
      </c>
      <c r="D103" s="1" t="s">
        <v>376</v>
      </c>
      <c r="E103" t="s">
        <v>377</v>
      </c>
      <c r="F103" t="s">
        <v>20</v>
      </c>
      <c r="G103" t="s">
        <v>21</v>
      </c>
      <c r="H103" t="s">
        <v>378</v>
      </c>
      <c r="I103" t="s">
        <v>23</v>
      </c>
      <c r="J103" t="s">
        <v>65</v>
      </c>
      <c r="K103" s="1" t="s">
        <v>365</v>
      </c>
      <c r="L103" t="s">
        <v>26</v>
      </c>
      <c r="M103">
        <v>25453</v>
      </c>
      <c r="N103">
        <v>-1</v>
      </c>
      <c r="O103" s="2">
        <v>-29990</v>
      </c>
      <c r="P103" s="2">
        <v>17994</v>
      </c>
      <c r="Q103" s="4">
        <f t="shared" si="4"/>
        <v>-25201.680672268907</v>
      </c>
      <c r="R103" s="4">
        <f t="shared" si="5"/>
        <v>-17994</v>
      </c>
      <c r="S103" s="4">
        <f t="shared" si="6"/>
        <v>-7207.6806722689071</v>
      </c>
    </row>
    <row r="104" spans="1:19" x14ac:dyDescent="0.3">
      <c r="A104">
        <v>300</v>
      </c>
      <c r="B104" t="s">
        <v>16</v>
      </c>
      <c r="C104" t="s">
        <v>379</v>
      </c>
      <c r="D104" s="1" t="s">
        <v>380</v>
      </c>
      <c r="E104" t="s">
        <v>381</v>
      </c>
      <c r="F104" t="s">
        <v>20</v>
      </c>
      <c r="G104" t="s">
        <v>21</v>
      </c>
      <c r="H104" t="s">
        <v>382</v>
      </c>
      <c r="I104" t="s">
        <v>23</v>
      </c>
      <c r="J104" t="s">
        <v>31</v>
      </c>
      <c r="K104" s="1" t="s">
        <v>383</v>
      </c>
      <c r="L104" t="s">
        <v>26</v>
      </c>
      <c r="M104">
        <v>25454</v>
      </c>
      <c r="N104">
        <v>-1</v>
      </c>
      <c r="O104" s="2">
        <v>-51990</v>
      </c>
      <c r="P104" s="2">
        <v>24559</v>
      </c>
      <c r="Q104" s="4">
        <f t="shared" si="4"/>
        <v>-43689.075630252104</v>
      </c>
      <c r="R104" s="4">
        <f t="shared" si="5"/>
        <v>-24559</v>
      </c>
      <c r="S104" s="4">
        <f t="shared" si="6"/>
        <v>-19130.075630252104</v>
      </c>
    </row>
    <row r="105" spans="1:19" x14ac:dyDescent="0.3">
      <c r="A105">
        <v>300</v>
      </c>
      <c r="B105" t="s">
        <v>16</v>
      </c>
      <c r="C105" t="s">
        <v>384</v>
      </c>
      <c r="D105" s="1" t="s">
        <v>385</v>
      </c>
      <c r="E105" t="s">
        <v>386</v>
      </c>
      <c r="F105" t="s">
        <v>20</v>
      </c>
      <c r="G105" t="s">
        <v>21</v>
      </c>
      <c r="H105" t="s">
        <v>387</v>
      </c>
      <c r="I105" t="s">
        <v>23</v>
      </c>
      <c r="J105" t="s">
        <v>49</v>
      </c>
      <c r="K105" s="1" t="s">
        <v>383</v>
      </c>
      <c r="L105" t="s">
        <v>26</v>
      </c>
      <c r="M105">
        <v>25461</v>
      </c>
      <c r="N105">
        <v>-1</v>
      </c>
      <c r="O105" s="2">
        <v>-39990</v>
      </c>
      <c r="P105" s="2">
        <v>27404</v>
      </c>
      <c r="Q105" s="4">
        <f t="shared" si="4"/>
        <v>-33605.042016806721</v>
      </c>
      <c r="R105" s="4">
        <f t="shared" si="5"/>
        <v>-27404</v>
      </c>
      <c r="S105" s="4">
        <f t="shared" si="6"/>
        <v>-6201.0420168067212</v>
      </c>
    </row>
    <row r="106" spans="1:19" x14ac:dyDescent="0.3">
      <c r="A106">
        <v>300</v>
      </c>
      <c r="B106" t="s">
        <v>16</v>
      </c>
      <c r="C106" t="s">
        <v>388</v>
      </c>
      <c r="D106" s="1" t="s">
        <v>389</v>
      </c>
      <c r="E106" t="s">
        <v>390</v>
      </c>
      <c r="F106" t="s">
        <v>20</v>
      </c>
      <c r="G106" t="s">
        <v>21</v>
      </c>
      <c r="H106" t="s">
        <v>391</v>
      </c>
      <c r="I106" t="s">
        <v>23</v>
      </c>
      <c r="J106" t="s">
        <v>65</v>
      </c>
      <c r="K106" s="1" t="s">
        <v>383</v>
      </c>
      <c r="L106" t="s">
        <v>26</v>
      </c>
      <c r="M106">
        <v>25462</v>
      </c>
      <c r="N106">
        <v>-1</v>
      </c>
      <c r="O106" s="2">
        <v>-29990</v>
      </c>
      <c r="P106" s="2">
        <v>10981</v>
      </c>
      <c r="Q106" s="4">
        <f t="shared" si="4"/>
        <v>-25201.680672268907</v>
      </c>
      <c r="R106" s="4">
        <f t="shared" si="5"/>
        <v>-10981</v>
      </c>
      <c r="S106" s="4">
        <f t="shared" si="6"/>
        <v>-14220.680672268907</v>
      </c>
    </row>
    <row r="107" spans="1:19" x14ac:dyDescent="0.3">
      <c r="A107">
        <v>300</v>
      </c>
      <c r="B107" t="s">
        <v>16</v>
      </c>
      <c r="C107" t="s">
        <v>392</v>
      </c>
      <c r="D107" s="1" t="s">
        <v>393</v>
      </c>
      <c r="E107" t="s">
        <v>394</v>
      </c>
      <c r="F107" t="s">
        <v>20</v>
      </c>
      <c r="G107" t="s">
        <v>21</v>
      </c>
      <c r="H107" t="s">
        <v>85</v>
      </c>
      <c r="I107" t="s">
        <v>23</v>
      </c>
      <c r="J107" t="s">
        <v>44</v>
      </c>
      <c r="K107" s="1" t="s">
        <v>383</v>
      </c>
      <c r="L107" t="s">
        <v>26</v>
      </c>
      <c r="M107">
        <v>25463</v>
      </c>
      <c r="N107">
        <v>-1</v>
      </c>
      <c r="O107" s="2">
        <v>-39990</v>
      </c>
      <c r="P107" s="2">
        <v>27296</v>
      </c>
      <c r="Q107" s="4">
        <f t="shared" si="4"/>
        <v>-33605.042016806721</v>
      </c>
      <c r="R107" s="4">
        <f t="shared" si="5"/>
        <v>-27296</v>
      </c>
      <c r="S107" s="4">
        <f t="shared" si="6"/>
        <v>-6309.0420168067212</v>
      </c>
    </row>
    <row r="108" spans="1:19" x14ac:dyDescent="0.3">
      <c r="A108">
        <v>300</v>
      </c>
      <c r="B108" t="s">
        <v>16</v>
      </c>
      <c r="C108" t="s">
        <v>395</v>
      </c>
      <c r="D108" s="1" t="s">
        <v>396</v>
      </c>
      <c r="E108" t="s">
        <v>42</v>
      </c>
      <c r="F108" t="s">
        <v>20</v>
      </c>
      <c r="G108" t="s">
        <v>21</v>
      </c>
      <c r="H108" t="s">
        <v>43</v>
      </c>
      <c r="I108" t="s">
        <v>23</v>
      </c>
      <c r="J108" t="s">
        <v>44</v>
      </c>
      <c r="K108" s="1" t="s">
        <v>383</v>
      </c>
      <c r="L108" t="s">
        <v>26</v>
      </c>
      <c r="M108">
        <v>25464</v>
      </c>
      <c r="N108">
        <v>-1</v>
      </c>
      <c r="O108" s="2">
        <v>-34990</v>
      </c>
      <c r="P108" s="2">
        <v>20345</v>
      </c>
      <c r="Q108" s="4">
        <f t="shared" si="4"/>
        <v>-29403.361344537818</v>
      </c>
      <c r="R108" s="4">
        <f t="shared" si="5"/>
        <v>-20345</v>
      </c>
      <c r="S108" s="4">
        <f t="shared" si="6"/>
        <v>-9058.3613445378178</v>
      </c>
    </row>
    <row r="109" spans="1:19" x14ac:dyDescent="0.3">
      <c r="A109">
        <v>300</v>
      </c>
      <c r="B109" t="s">
        <v>16</v>
      </c>
      <c r="C109" t="s">
        <v>397</v>
      </c>
      <c r="D109" s="1" t="s">
        <v>398</v>
      </c>
      <c r="E109" t="s">
        <v>221</v>
      </c>
      <c r="F109" t="s">
        <v>20</v>
      </c>
      <c r="G109" t="s">
        <v>21</v>
      </c>
      <c r="H109" t="s">
        <v>222</v>
      </c>
      <c r="I109" t="s">
        <v>23</v>
      </c>
      <c r="J109" t="s">
        <v>49</v>
      </c>
      <c r="K109" s="1" t="s">
        <v>383</v>
      </c>
      <c r="L109" t="s">
        <v>26</v>
      </c>
      <c r="M109">
        <v>25465</v>
      </c>
      <c r="N109">
        <v>-1</v>
      </c>
      <c r="O109" s="2">
        <v>-34990</v>
      </c>
      <c r="P109" s="2">
        <v>26228</v>
      </c>
      <c r="Q109" s="4">
        <f t="shared" si="4"/>
        <v>-29403.361344537818</v>
      </c>
      <c r="R109" s="4">
        <f t="shared" si="5"/>
        <v>-26228</v>
      </c>
      <c r="S109" s="4">
        <f t="shared" si="6"/>
        <v>-3175.3613445378178</v>
      </c>
    </row>
    <row r="110" spans="1:19" x14ac:dyDescent="0.3">
      <c r="A110">
        <v>300</v>
      </c>
      <c r="B110" t="s">
        <v>16</v>
      </c>
      <c r="C110" t="s">
        <v>399</v>
      </c>
      <c r="D110" s="1" t="s">
        <v>400</v>
      </c>
      <c r="E110" t="s">
        <v>401</v>
      </c>
      <c r="F110" t="s">
        <v>20</v>
      </c>
      <c r="G110" t="s">
        <v>21</v>
      </c>
      <c r="H110" t="s">
        <v>94</v>
      </c>
      <c r="I110" t="s">
        <v>23</v>
      </c>
      <c r="J110" t="s">
        <v>49</v>
      </c>
      <c r="K110" s="1" t="s">
        <v>383</v>
      </c>
      <c r="L110" t="s">
        <v>26</v>
      </c>
      <c r="M110">
        <v>25466</v>
      </c>
      <c r="N110">
        <v>-1</v>
      </c>
      <c r="O110" s="2">
        <v>-48990</v>
      </c>
      <c r="P110" s="2">
        <v>19669</v>
      </c>
      <c r="Q110" s="4">
        <f t="shared" si="4"/>
        <v>-41168.067226890758</v>
      </c>
      <c r="R110" s="4">
        <f t="shared" si="5"/>
        <v>-19669</v>
      </c>
      <c r="S110" s="4">
        <f t="shared" si="6"/>
        <v>-21499.067226890758</v>
      </c>
    </row>
    <row r="111" spans="1:19" x14ac:dyDescent="0.3">
      <c r="A111">
        <v>300</v>
      </c>
      <c r="B111" t="s">
        <v>16</v>
      </c>
      <c r="C111" t="s">
        <v>402</v>
      </c>
      <c r="D111" s="1" t="s">
        <v>403</v>
      </c>
      <c r="E111" t="s">
        <v>404</v>
      </c>
      <c r="F111" t="s">
        <v>20</v>
      </c>
      <c r="G111" t="s">
        <v>21</v>
      </c>
      <c r="H111" t="s">
        <v>405</v>
      </c>
      <c r="I111" t="s">
        <v>23</v>
      </c>
      <c r="J111" t="s">
        <v>49</v>
      </c>
      <c r="K111" s="1" t="s">
        <v>383</v>
      </c>
      <c r="L111" t="s">
        <v>26</v>
      </c>
      <c r="M111">
        <v>25467</v>
      </c>
      <c r="N111">
        <v>-1</v>
      </c>
      <c r="O111" s="2">
        <v>-74950</v>
      </c>
      <c r="P111" s="2">
        <v>25179</v>
      </c>
      <c r="Q111" s="4">
        <f t="shared" si="4"/>
        <v>-62983.193277310929</v>
      </c>
      <c r="R111" s="4">
        <f t="shared" si="5"/>
        <v>-25179</v>
      </c>
      <c r="S111" s="4">
        <f t="shared" si="6"/>
        <v>-37804.193277310929</v>
      </c>
    </row>
    <row r="112" spans="1:19" x14ac:dyDescent="0.3">
      <c r="A112">
        <v>300</v>
      </c>
      <c r="B112" t="s">
        <v>16</v>
      </c>
      <c r="C112" t="s">
        <v>406</v>
      </c>
      <c r="D112" s="1" t="s">
        <v>407</v>
      </c>
      <c r="E112" t="s">
        <v>408</v>
      </c>
      <c r="F112" t="s">
        <v>20</v>
      </c>
      <c r="G112" t="s">
        <v>21</v>
      </c>
      <c r="H112" t="s">
        <v>409</v>
      </c>
      <c r="I112" t="s">
        <v>23</v>
      </c>
      <c r="J112" t="s">
        <v>24</v>
      </c>
      <c r="K112" s="1" t="s">
        <v>383</v>
      </c>
      <c r="L112" t="s">
        <v>26</v>
      </c>
      <c r="M112">
        <v>25468</v>
      </c>
      <c r="N112">
        <v>-1</v>
      </c>
      <c r="O112" s="2">
        <v>-57990</v>
      </c>
      <c r="P112" s="2">
        <v>33892</v>
      </c>
      <c r="Q112" s="4">
        <f t="shared" si="4"/>
        <v>-48731.092436974795</v>
      </c>
      <c r="R112" s="4">
        <f t="shared" si="5"/>
        <v>-33892</v>
      </c>
      <c r="S112" s="4">
        <f t="shared" si="6"/>
        <v>-14839.092436974795</v>
      </c>
    </row>
    <row r="113" spans="1:19" x14ac:dyDescent="0.3">
      <c r="A113">
        <v>300</v>
      </c>
      <c r="B113" t="s">
        <v>16</v>
      </c>
      <c r="C113" t="s">
        <v>410</v>
      </c>
      <c r="D113" s="1" t="s">
        <v>411</v>
      </c>
      <c r="E113" t="s">
        <v>412</v>
      </c>
      <c r="F113" t="s">
        <v>20</v>
      </c>
      <c r="G113" t="s">
        <v>21</v>
      </c>
      <c r="H113" t="s">
        <v>343</v>
      </c>
      <c r="I113" t="s">
        <v>23</v>
      </c>
      <c r="J113" t="s">
        <v>49</v>
      </c>
      <c r="K113" s="1" t="s">
        <v>383</v>
      </c>
      <c r="L113" t="s">
        <v>26</v>
      </c>
      <c r="M113">
        <v>25469</v>
      </c>
      <c r="N113">
        <v>-1</v>
      </c>
      <c r="O113" s="2">
        <v>-34990</v>
      </c>
      <c r="P113" s="2">
        <v>22098</v>
      </c>
      <c r="Q113" s="4">
        <f t="shared" si="4"/>
        <v>-29403.361344537818</v>
      </c>
      <c r="R113" s="4">
        <f t="shared" si="5"/>
        <v>-22098</v>
      </c>
      <c r="S113" s="4">
        <f t="shared" si="6"/>
        <v>-7305.3613445378178</v>
      </c>
    </row>
    <row r="114" spans="1:19" x14ac:dyDescent="0.3">
      <c r="A114">
        <v>300</v>
      </c>
      <c r="B114" t="s">
        <v>16</v>
      </c>
      <c r="C114" t="s">
        <v>413</v>
      </c>
      <c r="D114" s="1" t="s">
        <v>414</v>
      </c>
      <c r="E114" t="s">
        <v>415</v>
      </c>
      <c r="F114" t="s">
        <v>20</v>
      </c>
      <c r="G114" t="s">
        <v>110</v>
      </c>
      <c r="H114">
        <v>28202</v>
      </c>
      <c r="I114" t="s">
        <v>23</v>
      </c>
      <c r="J114" t="s">
        <v>31</v>
      </c>
      <c r="K114" s="1" t="s">
        <v>383</v>
      </c>
      <c r="L114" t="s">
        <v>26</v>
      </c>
      <c r="M114">
        <v>25470</v>
      </c>
      <c r="N114">
        <v>-1</v>
      </c>
      <c r="O114" s="2">
        <v>-51990</v>
      </c>
      <c r="P114" s="2">
        <v>24935</v>
      </c>
      <c r="Q114" s="4">
        <f t="shared" si="4"/>
        <v>-43689.075630252104</v>
      </c>
      <c r="R114" s="4">
        <f t="shared" si="5"/>
        <v>-24935</v>
      </c>
      <c r="S114" s="4">
        <f t="shared" si="6"/>
        <v>-18754.075630252104</v>
      </c>
    </row>
    <row r="115" spans="1:19" x14ac:dyDescent="0.3">
      <c r="A115">
        <v>300</v>
      </c>
      <c r="B115" t="s">
        <v>16</v>
      </c>
      <c r="C115" t="s">
        <v>416</v>
      </c>
      <c r="D115" s="1" t="s">
        <v>417</v>
      </c>
      <c r="E115" t="s">
        <v>418</v>
      </c>
      <c r="F115" t="s">
        <v>20</v>
      </c>
      <c r="G115" t="s">
        <v>21</v>
      </c>
      <c r="H115" t="s">
        <v>419</v>
      </c>
      <c r="I115" t="s">
        <v>23</v>
      </c>
      <c r="J115" t="s">
        <v>31</v>
      </c>
      <c r="K115" s="1" t="s">
        <v>383</v>
      </c>
      <c r="L115" t="s">
        <v>26</v>
      </c>
      <c r="M115">
        <v>25471</v>
      </c>
      <c r="N115">
        <v>-1</v>
      </c>
      <c r="O115" s="2">
        <v>-55990</v>
      </c>
      <c r="P115" s="2">
        <v>29699</v>
      </c>
      <c r="Q115" s="4">
        <f t="shared" si="4"/>
        <v>-47050.420168067227</v>
      </c>
      <c r="R115" s="4">
        <f t="shared" si="5"/>
        <v>-29699</v>
      </c>
      <c r="S115" s="4">
        <f t="shared" si="6"/>
        <v>-17351.420168067227</v>
      </c>
    </row>
    <row r="116" spans="1:19" x14ac:dyDescent="0.3">
      <c r="A116">
        <v>300</v>
      </c>
      <c r="B116" t="s">
        <v>16</v>
      </c>
      <c r="C116" t="s">
        <v>420</v>
      </c>
      <c r="D116" s="1" t="s">
        <v>421</v>
      </c>
      <c r="E116" t="s">
        <v>422</v>
      </c>
      <c r="F116" t="s">
        <v>20</v>
      </c>
      <c r="G116" t="s">
        <v>21</v>
      </c>
      <c r="H116" t="s">
        <v>423</v>
      </c>
      <c r="I116" t="s">
        <v>23</v>
      </c>
      <c r="J116" t="s">
        <v>49</v>
      </c>
      <c r="K116" s="1" t="s">
        <v>383</v>
      </c>
      <c r="L116" t="s">
        <v>26</v>
      </c>
      <c r="M116">
        <v>25472</v>
      </c>
      <c r="N116">
        <v>-1</v>
      </c>
      <c r="O116" s="2">
        <v>-49990</v>
      </c>
      <c r="P116" s="2">
        <v>28700</v>
      </c>
      <c r="Q116" s="4">
        <f t="shared" si="4"/>
        <v>-42008.403361344543</v>
      </c>
      <c r="R116" s="4">
        <f t="shared" si="5"/>
        <v>-28700</v>
      </c>
      <c r="S116" s="4">
        <f t="shared" si="6"/>
        <v>-13308.403361344543</v>
      </c>
    </row>
    <row r="117" spans="1:19" x14ac:dyDescent="0.3">
      <c r="A117">
        <v>300</v>
      </c>
      <c r="B117" t="s">
        <v>16</v>
      </c>
      <c r="C117" t="s">
        <v>266</v>
      </c>
      <c r="D117" s="1" t="s">
        <v>267</v>
      </c>
      <c r="E117" t="s">
        <v>55</v>
      </c>
      <c r="F117" t="s">
        <v>20</v>
      </c>
      <c r="G117" t="s">
        <v>21</v>
      </c>
      <c r="H117" t="s">
        <v>56</v>
      </c>
      <c r="I117" t="s">
        <v>23</v>
      </c>
      <c r="J117" t="s">
        <v>49</v>
      </c>
      <c r="K117" s="1" t="s">
        <v>383</v>
      </c>
      <c r="L117" t="s">
        <v>26</v>
      </c>
      <c r="M117">
        <v>25473</v>
      </c>
      <c r="N117">
        <v>-1</v>
      </c>
      <c r="O117" s="2">
        <v>-44990</v>
      </c>
      <c r="P117" s="2">
        <v>21167</v>
      </c>
      <c r="Q117" s="4">
        <f t="shared" si="4"/>
        <v>-37806.722689075636</v>
      </c>
      <c r="R117" s="4">
        <f t="shared" si="5"/>
        <v>-21167</v>
      </c>
      <c r="S117" s="4">
        <f t="shared" si="6"/>
        <v>-16639.722689075636</v>
      </c>
    </row>
    <row r="118" spans="1:19" x14ac:dyDescent="0.3">
      <c r="A118">
        <v>300</v>
      </c>
      <c r="B118" t="s">
        <v>16</v>
      </c>
      <c r="C118" t="s">
        <v>424</v>
      </c>
      <c r="D118" s="1" t="s">
        <v>425</v>
      </c>
      <c r="E118" t="s">
        <v>426</v>
      </c>
      <c r="F118" t="s">
        <v>20</v>
      </c>
      <c r="G118" t="s">
        <v>21</v>
      </c>
      <c r="H118" t="s">
        <v>427</v>
      </c>
      <c r="I118" t="s">
        <v>23</v>
      </c>
      <c r="J118" t="s">
        <v>65</v>
      </c>
      <c r="K118" s="1" t="s">
        <v>383</v>
      </c>
      <c r="L118" t="s">
        <v>26</v>
      </c>
      <c r="M118">
        <v>25474</v>
      </c>
      <c r="N118">
        <v>-1</v>
      </c>
      <c r="O118" s="2">
        <v>-37990</v>
      </c>
      <c r="P118" s="2">
        <v>14508</v>
      </c>
      <c r="Q118" s="4">
        <f t="shared" si="4"/>
        <v>-31924.36974789916</v>
      </c>
      <c r="R118" s="4">
        <f t="shared" si="5"/>
        <v>-14508</v>
      </c>
      <c r="S118" s="4">
        <f t="shared" si="6"/>
        <v>-17416.36974789916</v>
      </c>
    </row>
    <row r="119" spans="1:19" x14ac:dyDescent="0.3">
      <c r="A119">
        <v>300</v>
      </c>
      <c r="B119" t="s">
        <v>16</v>
      </c>
      <c r="C119" t="s">
        <v>428</v>
      </c>
      <c r="D119" s="1" t="s">
        <v>429</v>
      </c>
      <c r="E119" t="s">
        <v>146</v>
      </c>
      <c r="F119" t="s">
        <v>20</v>
      </c>
      <c r="G119" t="s">
        <v>21</v>
      </c>
      <c r="H119" t="s">
        <v>147</v>
      </c>
      <c r="I119" t="s">
        <v>23</v>
      </c>
      <c r="J119" t="s">
        <v>31</v>
      </c>
      <c r="K119" s="1" t="s">
        <v>383</v>
      </c>
      <c r="L119" t="s">
        <v>26</v>
      </c>
      <c r="M119">
        <v>25475</v>
      </c>
      <c r="N119">
        <v>-1</v>
      </c>
      <c r="O119" s="2">
        <v>-44990</v>
      </c>
      <c r="P119" s="2">
        <v>27069</v>
      </c>
      <c r="Q119" s="4">
        <f t="shared" si="4"/>
        <v>-37806.722689075636</v>
      </c>
      <c r="R119" s="4">
        <f t="shared" si="5"/>
        <v>-27069</v>
      </c>
      <c r="S119" s="4">
        <f t="shared" si="6"/>
        <v>-10737.722689075636</v>
      </c>
    </row>
    <row r="120" spans="1:19" x14ac:dyDescent="0.3">
      <c r="A120">
        <v>300</v>
      </c>
      <c r="B120" t="s">
        <v>16</v>
      </c>
      <c r="C120" t="s">
        <v>430</v>
      </c>
      <c r="D120" s="1" t="s">
        <v>431</v>
      </c>
      <c r="E120" t="s">
        <v>432</v>
      </c>
      <c r="F120" t="s">
        <v>20</v>
      </c>
      <c r="G120" t="s">
        <v>21</v>
      </c>
      <c r="H120" t="s">
        <v>361</v>
      </c>
      <c r="I120" t="s">
        <v>23</v>
      </c>
      <c r="J120" t="s">
        <v>49</v>
      </c>
      <c r="K120" s="1" t="s">
        <v>383</v>
      </c>
      <c r="L120" t="s">
        <v>26</v>
      </c>
      <c r="M120">
        <v>25476</v>
      </c>
      <c r="N120">
        <v>-1</v>
      </c>
      <c r="O120" s="2">
        <v>-51990</v>
      </c>
      <c r="P120" s="2">
        <v>27753</v>
      </c>
      <c r="Q120" s="4">
        <f t="shared" si="4"/>
        <v>-43689.075630252104</v>
      </c>
      <c r="R120" s="4">
        <f t="shared" si="5"/>
        <v>-27753</v>
      </c>
      <c r="S120" s="4">
        <f t="shared" si="6"/>
        <v>-15936.075630252104</v>
      </c>
    </row>
    <row r="121" spans="1:19" x14ac:dyDescent="0.3">
      <c r="A121">
        <v>300</v>
      </c>
      <c r="B121" t="s">
        <v>16</v>
      </c>
      <c r="C121" t="s">
        <v>433</v>
      </c>
      <c r="D121" s="1" t="s">
        <v>434</v>
      </c>
      <c r="E121" t="s">
        <v>435</v>
      </c>
      <c r="F121" t="s">
        <v>20</v>
      </c>
      <c r="G121" t="s">
        <v>21</v>
      </c>
      <c r="H121" t="s">
        <v>336</v>
      </c>
      <c r="I121" t="s">
        <v>23</v>
      </c>
      <c r="J121" t="s">
        <v>44</v>
      </c>
      <c r="K121" s="1" t="s">
        <v>383</v>
      </c>
      <c r="L121" t="s">
        <v>26</v>
      </c>
      <c r="M121">
        <v>25477</v>
      </c>
      <c r="N121">
        <v>-1</v>
      </c>
      <c r="O121" s="2">
        <v>-34990</v>
      </c>
      <c r="P121" s="2">
        <v>19775</v>
      </c>
      <c r="Q121" s="4">
        <f t="shared" si="4"/>
        <v>-29403.361344537818</v>
      </c>
      <c r="R121" s="4">
        <f t="shared" si="5"/>
        <v>-19775</v>
      </c>
      <c r="S121" s="4">
        <f t="shared" si="6"/>
        <v>-9628.3613445378178</v>
      </c>
    </row>
    <row r="122" spans="1:19" x14ac:dyDescent="0.3">
      <c r="A122">
        <v>300</v>
      </c>
      <c r="B122" t="s">
        <v>16</v>
      </c>
      <c r="C122" t="s">
        <v>436</v>
      </c>
      <c r="D122" s="1" t="s">
        <v>437</v>
      </c>
      <c r="E122" t="s">
        <v>435</v>
      </c>
      <c r="F122" t="s">
        <v>20</v>
      </c>
      <c r="G122" t="s">
        <v>21</v>
      </c>
      <c r="H122" t="s">
        <v>336</v>
      </c>
      <c r="I122" t="s">
        <v>23</v>
      </c>
      <c r="J122" t="s">
        <v>44</v>
      </c>
      <c r="K122" s="1" t="s">
        <v>383</v>
      </c>
      <c r="L122" t="s">
        <v>26</v>
      </c>
      <c r="M122">
        <v>25478</v>
      </c>
      <c r="N122">
        <v>-1</v>
      </c>
      <c r="O122" s="2">
        <v>-34990</v>
      </c>
      <c r="P122" s="2">
        <v>19726</v>
      </c>
      <c r="Q122" s="4">
        <f t="shared" si="4"/>
        <v>-29403.361344537818</v>
      </c>
      <c r="R122" s="4">
        <f t="shared" si="5"/>
        <v>-19726</v>
      </c>
      <c r="S122" s="4">
        <f t="shared" si="6"/>
        <v>-9677.3613445378178</v>
      </c>
    </row>
    <row r="123" spans="1:19" x14ac:dyDescent="0.3">
      <c r="A123">
        <v>300</v>
      </c>
      <c r="B123" t="s">
        <v>16</v>
      </c>
      <c r="C123" t="s">
        <v>438</v>
      </c>
      <c r="D123" s="1" t="s">
        <v>439</v>
      </c>
      <c r="E123" t="s">
        <v>360</v>
      </c>
      <c r="F123" t="s">
        <v>20</v>
      </c>
      <c r="G123" t="s">
        <v>21</v>
      </c>
      <c r="H123" t="s">
        <v>361</v>
      </c>
      <c r="I123" t="s">
        <v>23</v>
      </c>
      <c r="J123" t="s">
        <v>49</v>
      </c>
      <c r="K123" s="1" t="s">
        <v>383</v>
      </c>
      <c r="L123" t="s">
        <v>26</v>
      </c>
      <c r="M123">
        <v>25479</v>
      </c>
      <c r="N123">
        <v>-1</v>
      </c>
      <c r="O123" s="2">
        <v>-44990</v>
      </c>
      <c r="P123" s="2">
        <v>29097</v>
      </c>
      <c r="Q123" s="4">
        <f t="shared" si="4"/>
        <v>-37806.722689075636</v>
      </c>
      <c r="R123" s="4">
        <f t="shared" si="5"/>
        <v>-29097</v>
      </c>
      <c r="S123" s="4">
        <f t="shared" si="6"/>
        <v>-8709.7226890756356</v>
      </c>
    </row>
    <row r="124" spans="1:19" x14ac:dyDescent="0.3">
      <c r="A124">
        <v>300</v>
      </c>
      <c r="B124" t="s">
        <v>16</v>
      </c>
      <c r="C124" t="s">
        <v>440</v>
      </c>
      <c r="D124" s="1" t="s">
        <v>441</v>
      </c>
      <c r="E124" t="s">
        <v>442</v>
      </c>
      <c r="F124" t="s">
        <v>20</v>
      </c>
      <c r="G124" t="s">
        <v>21</v>
      </c>
      <c r="H124" t="s">
        <v>443</v>
      </c>
      <c r="I124" t="s">
        <v>23</v>
      </c>
      <c r="J124" t="s">
        <v>24</v>
      </c>
      <c r="K124" s="1" t="s">
        <v>383</v>
      </c>
      <c r="L124" t="s">
        <v>26</v>
      </c>
      <c r="M124">
        <v>25480</v>
      </c>
      <c r="N124">
        <v>-1</v>
      </c>
      <c r="O124" s="2">
        <v>-59990</v>
      </c>
      <c r="P124" s="2">
        <v>33315</v>
      </c>
      <c r="Q124" s="4">
        <f t="shared" si="4"/>
        <v>-50411.764705882357</v>
      </c>
      <c r="R124" s="4">
        <f t="shared" si="5"/>
        <v>-33315</v>
      </c>
      <c r="S124" s="4">
        <f t="shared" si="6"/>
        <v>-17096.764705882357</v>
      </c>
    </row>
    <row r="125" spans="1:19" x14ac:dyDescent="0.3">
      <c r="A125">
        <v>300</v>
      </c>
      <c r="B125" t="s">
        <v>16</v>
      </c>
      <c r="C125" t="s">
        <v>444</v>
      </c>
      <c r="D125" s="1" t="s">
        <v>445</v>
      </c>
      <c r="E125" t="s">
        <v>446</v>
      </c>
      <c r="F125" t="s">
        <v>20</v>
      </c>
      <c r="G125" t="s">
        <v>21</v>
      </c>
      <c r="H125" t="s">
        <v>447</v>
      </c>
      <c r="I125" t="s">
        <v>23</v>
      </c>
      <c r="J125" t="s">
        <v>65</v>
      </c>
      <c r="K125" s="1" t="s">
        <v>383</v>
      </c>
      <c r="L125" t="s">
        <v>26</v>
      </c>
      <c r="M125">
        <v>25481</v>
      </c>
      <c r="N125">
        <v>-1</v>
      </c>
      <c r="O125" s="2">
        <v>-74950</v>
      </c>
      <c r="P125" s="2">
        <v>24229</v>
      </c>
      <c r="Q125" s="4">
        <f t="shared" si="4"/>
        <v>-62983.193277310929</v>
      </c>
      <c r="R125" s="4">
        <f t="shared" si="5"/>
        <v>-24229</v>
      </c>
      <c r="S125" s="4">
        <f t="shared" si="6"/>
        <v>-38754.193277310929</v>
      </c>
    </row>
    <row r="126" spans="1:19" x14ac:dyDescent="0.3">
      <c r="A126">
        <v>300</v>
      </c>
      <c r="B126" t="s">
        <v>16</v>
      </c>
      <c r="C126" t="s">
        <v>448</v>
      </c>
      <c r="D126" s="1" t="s">
        <v>449</v>
      </c>
      <c r="E126" t="s">
        <v>450</v>
      </c>
      <c r="F126" t="s">
        <v>20</v>
      </c>
      <c r="G126" t="s">
        <v>21</v>
      </c>
      <c r="H126" t="s">
        <v>419</v>
      </c>
      <c r="I126" t="s">
        <v>23</v>
      </c>
      <c r="J126" t="s">
        <v>31</v>
      </c>
      <c r="K126" s="1" t="s">
        <v>383</v>
      </c>
      <c r="L126" t="s">
        <v>26</v>
      </c>
      <c r="M126">
        <v>25482</v>
      </c>
      <c r="N126">
        <v>-1</v>
      </c>
      <c r="O126" s="2">
        <v>-55991</v>
      </c>
      <c r="P126" s="2">
        <v>30013</v>
      </c>
      <c r="Q126" s="4">
        <f t="shared" si="4"/>
        <v>-47051.26050420168</v>
      </c>
      <c r="R126" s="4">
        <f t="shared" si="5"/>
        <v>-30013</v>
      </c>
      <c r="S126" s="4">
        <f t="shared" si="6"/>
        <v>-17038.26050420168</v>
      </c>
    </row>
    <row r="127" spans="1:19" x14ac:dyDescent="0.3">
      <c r="A127">
        <v>300</v>
      </c>
      <c r="B127" t="s">
        <v>16</v>
      </c>
      <c r="C127" t="s">
        <v>451</v>
      </c>
      <c r="D127" s="1" t="s">
        <v>452</v>
      </c>
      <c r="E127" t="s">
        <v>453</v>
      </c>
      <c r="F127" t="s">
        <v>20</v>
      </c>
      <c r="G127" t="s">
        <v>21</v>
      </c>
      <c r="H127" t="s">
        <v>419</v>
      </c>
      <c r="I127" t="s">
        <v>23</v>
      </c>
      <c r="J127" t="s">
        <v>31</v>
      </c>
      <c r="K127" s="1" t="s">
        <v>383</v>
      </c>
      <c r="L127" t="s">
        <v>26</v>
      </c>
      <c r="M127">
        <v>25482</v>
      </c>
      <c r="N127">
        <v>-1</v>
      </c>
      <c r="O127" s="2">
        <v>-55990</v>
      </c>
      <c r="P127" s="2">
        <v>32664</v>
      </c>
      <c r="Q127" s="4">
        <f t="shared" si="4"/>
        <v>-47050.420168067227</v>
      </c>
      <c r="R127" s="4">
        <f t="shared" si="5"/>
        <v>-32664</v>
      </c>
      <c r="S127" s="4">
        <f t="shared" si="6"/>
        <v>-14386.420168067227</v>
      </c>
    </row>
    <row r="128" spans="1:19" x14ac:dyDescent="0.3">
      <c r="A128">
        <v>300</v>
      </c>
      <c r="B128" t="s">
        <v>16</v>
      </c>
      <c r="C128" t="s">
        <v>454</v>
      </c>
      <c r="D128" s="1" t="s">
        <v>455</v>
      </c>
      <c r="E128" t="s">
        <v>456</v>
      </c>
      <c r="F128" t="s">
        <v>20</v>
      </c>
      <c r="G128" t="s">
        <v>21</v>
      </c>
      <c r="H128" t="s">
        <v>94</v>
      </c>
      <c r="I128" t="s">
        <v>23</v>
      </c>
      <c r="J128" t="s">
        <v>24</v>
      </c>
      <c r="K128" s="1" t="s">
        <v>383</v>
      </c>
      <c r="L128" t="s">
        <v>26</v>
      </c>
      <c r="M128">
        <v>25483</v>
      </c>
      <c r="N128">
        <v>-1</v>
      </c>
      <c r="O128" s="2">
        <v>-54990</v>
      </c>
      <c r="P128" s="2">
        <v>31437</v>
      </c>
      <c r="Q128" s="4">
        <f t="shared" si="4"/>
        <v>-46210.08403361345</v>
      </c>
      <c r="R128" s="4">
        <f t="shared" si="5"/>
        <v>-31437</v>
      </c>
      <c r="S128" s="4">
        <f t="shared" si="6"/>
        <v>-14773.08403361345</v>
      </c>
    </row>
    <row r="129" spans="1:19" x14ac:dyDescent="0.3">
      <c r="A129">
        <v>300</v>
      </c>
      <c r="B129" t="s">
        <v>16</v>
      </c>
      <c r="C129" t="s">
        <v>457</v>
      </c>
      <c r="D129" s="1" t="s">
        <v>458</v>
      </c>
      <c r="E129" t="s">
        <v>459</v>
      </c>
      <c r="F129" t="s">
        <v>20</v>
      </c>
      <c r="G129" t="s">
        <v>21</v>
      </c>
      <c r="H129" t="s">
        <v>460</v>
      </c>
      <c r="I129" t="s">
        <v>23</v>
      </c>
      <c r="J129" t="s">
        <v>24</v>
      </c>
      <c r="K129" s="1" t="s">
        <v>383</v>
      </c>
      <c r="L129" t="s">
        <v>26</v>
      </c>
      <c r="M129">
        <v>25484</v>
      </c>
      <c r="N129">
        <v>-1</v>
      </c>
      <c r="O129" s="2">
        <v>-69990</v>
      </c>
      <c r="P129" s="2">
        <v>33903</v>
      </c>
      <c r="Q129" s="4">
        <f t="shared" si="4"/>
        <v>-58815.126050420171</v>
      </c>
      <c r="R129" s="4">
        <f t="shared" si="5"/>
        <v>-33903</v>
      </c>
      <c r="S129" s="4">
        <f t="shared" si="6"/>
        <v>-24912.126050420171</v>
      </c>
    </row>
    <row r="130" spans="1:19" x14ac:dyDescent="0.3">
      <c r="A130">
        <v>300</v>
      </c>
      <c r="B130" t="s">
        <v>16</v>
      </c>
      <c r="C130" t="s">
        <v>461</v>
      </c>
      <c r="D130" s="1" t="s">
        <v>462</v>
      </c>
      <c r="E130" t="s">
        <v>463</v>
      </c>
      <c r="F130" t="s">
        <v>20</v>
      </c>
      <c r="G130" t="s">
        <v>21</v>
      </c>
      <c r="H130" t="s">
        <v>253</v>
      </c>
      <c r="I130" t="s">
        <v>23</v>
      </c>
      <c r="J130" t="s">
        <v>49</v>
      </c>
      <c r="K130" s="1" t="s">
        <v>383</v>
      </c>
      <c r="L130" t="s">
        <v>26</v>
      </c>
      <c r="M130">
        <v>25485</v>
      </c>
      <c r="N130">
        <v>-1</v>
      </c>
      <c r="O130" s="2">
        <v>-39990</v>
      </c>
      <c r="P130" s="2">
        <v>26741</v>
      </c>
      <c r="Q130" s="4">
        <f t="shared" si="4"/>
        <v>-33605.042016806721</v>
      </c>
      <c r="R130" s="4">
        <f t="shared" si="5"/>
        <v>-26741</v>
      </c>
      <c r="S130" s="4">
        <f t="shared" si="6"/>
        <v>-6864.0420168067212</v>
      </c>
    </row>
    <row r="131" spans="1:19" x14ac:dyDescent="0.3">
      <c r="A131">
        <v>300</v>
      </c>
      <c r="B131" t="s">
        <v>16</v>
      </c>
      <c r="C131" t="s">
        <v>464</v>
      </c>
      <c r="D131" s="1" t="s">
        <v>465</v>
      </c>
      <c r="E131" t="s">
        <v>466</v>
      </c>
      <c r="F131" t="s">
        <v>20</v>
      </c>
      <c r="G131" t="s">
        <v>21</v>
      </c>
      <c r="H131" t="s">
        <v>467</v>
      </c>
      <c r="I131" t="s">
        <v>23</v>
      </c>
      <c r="J131" t="s">
        <v>31</v>
      </c>
      <c r="K131" s="1" t="s">
        <v>383</v>
      </c>
      <c r="L131" t="s">
        <v>26</v>
      </c>
      <c r="M131">
        <v>25486</v>
      </c>
      <c r="N131">
        <v>-1</v>
      </c>
      <c r="O131" s="2">
        <v>-49990</v>
      </c>
      <c r="P131" s="2">
        <v>27003</v>
      </c>
      <c r="Q131" s="4">
        <f t="shared" si="4"/>
        <v>-42008.403361344543</v>
      </c>
      <c r="R131" s="4">
        <f t="shared" si="5"/>
        <v>-27003</v>
      </c>
      <c r="S131" s="4">
        <f t="shared" si="6"/>
        <v>-15005.403361344543</v>
      </c>
    </row>
    <row r="132" spans="1:19" x14ac:dyDescent="0.3">
      <c r="A132">
        <v>300</v>
      </c>
      <c r="B132" t="s">
        <v>16</v>
      </c>
      <c r="C132" t="s">
        <v>468</v>
      </c>
      <c r="D132" s="1" t="s">
        <v>469</v>
      </c>
      <c r="E132" t="s">
        <v>38</v>
      </c>
      <c r="F132" t="s">
        <v>20</v>
      </c>
      <c r="G132" t="s">
        <v>21</v>
      </c>
      <c r="H132" t="s">
        <v>39</v>
      </c>
      <c r="I132" t="s">
        <v>23</v>
      </c>
      <c r="J132" t="s">
        <v>31</v>
      </c>
      <c r="K132" s="1" t="s">
        <v>383</v>
      </c>
      <c r="L132" t="s">
        <v>26</v>
      </c>
      <c r="M132">
        <v>25487</v>
      </c>
      <c r="N132">
        <v>-1</v>
      </c>
      <c r="O132" s="2">
        <v>-39990</v>
      </c>
      <c r="P132" s="2">
        <v>21727</v>
      </c>
      <c r="Q132" s="4">
        <f t="shared" si="4"/>
        <v>-33605.042016806721</v>
      </c>
      <c r="R132" s="4">
        <f t="shared" si="5"/>
        <v>-21727</v>
      </c>
      <c r="S132" s="4">
        <f t="shared" si="6"/>
        <v>-11878.042016806721</v>
      </c>
    </row>
    <row r="133" spans="1:19" x14ac:dyDescent="0.3">
      <c r="A133">
        <v>300</v>
      </c>
      <c r="B133" t="s">
        <v>16</v>
      </c>
      <c r="C133" t="s">
        <v>470</v>
      </c>
      <c r="D133" s="1" t="s">
        <v>471</v>
      </c>
      <c r="E133" t="s">
        <v>453</v>
      </c>
      <c r="F133" t="s">
        <v>20</v>
      </c>
      <c r="G133" t="s">
        <v>21</v>
      </c>
      <c r="H133" t="s">
        <v>419</v>
      </c>
      <c r="I133" t="s">
        <v>23</v>
      </c>
      <c r="J133" t="s">
        <v>31</v>
      </c>
      <c r="K133" s="1" t="s">
        <v>383</v>
      </c>
      <c r="L133" t="s">
        <v>26</v>
      </c>
      <c r="M133">
        <v>25488</v>
      </c>
      <c r="N133">
        <v>-1</v>
      </c>
      <c r="O133" s="2">
        <v>-55990</v>
      </c>
      <c r="P133" s="2">
        <v>32494</v>
      </c>
      <c r="Q133" s="4">
        <f t="shared" ref="Q133:Q196" si="7">O133/1.19</f>
        <v>-47050.420168067227</v>
      </c>
      <c r="R133" s="4">
        <f t="shared" ref="R133:R196" si="8">N133*P133</f>
        <v>-32494</v>
      </c>
      <c r="S133" s="4">
        <f t="shared" ref="S133:S196" si="9">Q133-R133</f>
        <v>-14556.420168067227</v>
      </c>
    </row>
    <row r="134" spans="1:19" x14ac:dyDescent="0.3">
      <c r="A134">
        <v>300</v>
      </c>
      <c r="B134" t="s">
        <v>16</v>
      </c>
      <c r="C134" t="s">
        <v>472</v>
      </c>
      <c r="D134" s="1" t="s">
        <v>473</v>
      </c>
      <c r="E134" t="s">
        <v>474</v>
      </c>
      <c r="F134" t="s">
        <v>20</v>
      </c>
      <c r="G134" t="s">
        <v>21</v>
      </c>
      <c r="H134" t="s">
        <v>475</v>
      </c>
      <c r="I134" t="s">
        <v>23</v>
      </c>
      <c r="J134" t="s">
        <v>65</v>
      </c>
      <c r="K134" s="1" t="s">
        <v>383</v>
      </c>
      <c r="L134" t="s">
        <v>26</v>
      </c>
      <c r="M134">
        <v>25489</v>
      </c>
      <c r="N134">
        <v>-1</v>
      </c>
      <c r="O134" s="2">
        <v>-34990</v>
      </c>
      <c r="P134" s="2">
        <v>18256</v>
      </c>
      <c r="Q134" s="4">
        <f t="shared" si="7"/>
        <v>-29403.361344537818</v>
      </c>
      <c r="R134" s="4">
        <f t="shared" si="8"/>
        <v>-18256</v>
      </c>
      <c r="S134" s="4">
        <f t="shared" si="9"/>
        <v>-11147.361344537818</v>
      </c>
    </row>
    <row r="135" spans="1:19" x14ac:dyDescent="0.3">
      <c r="A135">
        <v>300</v>
      </c>
      <c r="B135" t="s">
        <v>16</v>
      </c>
      <c r="C135" t="s">
        <v>476</v>
      </c>
      <c r="D135" s="1" t="s">
        <v>477</v>
      </c>
      <c r="E135" t="s">
        <v>478</v>
      </c>
      <c r="F135" t="s">
        <v>20</v>
      </c>
      <c r="G135" t="s">
        <v>21</v>
      </c>
      <c r="H135" t="s">
        <v>423</v>
      </c>
      <c r="I135" t="s">
        <v>23</v>
      </c>
      <c r="J135" t="s">
        <v>49</v>
      </c>
      <c r="K135" s="1" t="s">
        <v>383</v>
      </c>
      <c r="L135" t="s">
        <v>26</v>
      </c>
      <c r="M135">
        <v>25490</v>
      </c>
      <c r="N135">
        <v>-1</v>
      </c>
      <c r="O135" s="2">
        <v>-49990</v>
      </c>
      <c r="P135" s="2">
        <v>28455</v>
      </c>
      <c r="Q135" s="4">
        <f t="shared" si="7"/>
        <v>-42008.403361344543</v>
      </c>
      <c r="R135" s="4">
        <f t="shared" si="8"/>
        <v>-28455</v>
      </c>
      <c r="S135" s="4">
        <f t="shared" si="9"/>
        <v>-13553.403361344543</v>
      </c>
    </row>
    <row r="136" spans="1:19" x14ac:dyDescent="0.3">
      <c r="A136">
        <v>300</v>
      </c>
      <c r="B136" t="s">
        <v>16</v>
      </c>
      <c r="C136" t="s">
        <v>479</v>
      </c>
      <c r="D136" s="1" t="s">
        <v>480</v>
      </c>
      <c r="E136" t="s">
        <v>481</v>
      </c>
      <c r="F136" t="s">
        <v>20</v>
      </c>
      <c r="G136" t="s">
        <v>21</v>
      </c>
      <c r="H136" t="s">
        <v>482</v>
      </c>
      <c r="I136" t="s">
        <v>23</v>
      </c>
      <c r="J136" t="s">
        <v>24</v>
      </c>
      <c r="K136" s="1" t="s">
        <v>383</v>
      </c>
      <c r="L136" t="s">
        <v>26</v>
      </c>
      <c r="M136">
        <v>25491</v>
      </c>
      <c r="N136">
        <v>-1</v>
      </c>
      <c r="O136" s="2">
        <v>-54990</v>
      </c>
      <c r="P136" s="2">
        <v>31481</v>
      </c>
      <c r="Q136" s="4">
        <f t="shared" si="7"/>
        <v>-46210.08403361345</v>
      </c>
      <c r="R136" s="4">
        <f t="shared" si="8"/>
        <v>-31481</v>
      </c>
      <c r="S136" s="4">
        <f t="shared" si="9"/>
        <v>-14729.08403361345</v>
      </c>
    </row>
    <row r="137" spans="1:19" x14ac:dyDescent="0.3">
      <c r="A137">
        <v>300</v>
      </c>
      <c r="B137" t="s">
        <v>16</v>
      </c>
      <c r="C137" t="s">
        <v>483</v>
      </c>
      <c r="D137" s="1" t="s">
        <v>484</v>
      </c>
      <c r="E137" t="s">
        <v>485</v>
      </c>
      <c r="F137" t="s">
        <v>20</v>
      </c>
      <c r="G137" t="s">
        <v>21</v>
      </c>
      <c r="H137" t="s">
        <v>30</v>
      </c>
      <c r="I137" t="s">
        <v>23</v>
      </c>
      <c r="J137" t="s">
        <v>31</v>
      </c>
      <c r="K137" s="1" t="s">
        <v>383</v>
      </c>
      <c r="L137" t="s">
        <v>26</v>
      </c>
      <c r="M137">
        <v>25492</v>
      </c>
      <c r="N137">
        <v>-1</v>
      </c>
      <c r="O137" s="2">
        <v>-34990</v>
      </c>
      <c r="P137" s="2">
        <v>21653</v>
      </c>
      <c r="Q137" s="4">
        <f t="shared" si="7"/>
        <v>-29403.361344537818</v>
      </c>
      <c r="R137" s="4">
        <f t="shared" si="8"/>
        <v>-21653</v>
      </c>
      <c r="S137" s="4">
        <f t="shared" si="9"/>
        <v>-7750.3613445378178</v>
      </c>
    </row>
    <row r="138" spans="1:19" x14ac:dyDescent="0.3">
      <c r="A138">
        <v>300</v>
      </c>
      <c r="B138" t="s">
        <v>16</v>
      </c>
      <c r="C138" t="s">
        <v>486</v>
      </c>
      <c r="D138" s="1" t="s">
        <v>487</v>
      </c>
      <c r="E138" t="s">
        <v>488</v>
      </c>
      <c r="F138" t="s">
        <v>20</v>
      </c>
      <c r="G138" t="s">
        <v>21</v>
      </c>
      <c r="H138" t="s">
        <v>489</v>
      </c>
      <c r="I138" t="s">
        <v>23</v>
      </c>
      <c r="J138" t="s">
        <v>49</v>
      </c>
      <c r="K138" s="1" t="s">
        <v>383</v>
      </c>
      <c r="L138" t="s">
        <v>26</v>
      </c>
      <c r="M138">
        <v>25493</v>
      </c>
      <c r="N138">
        <v>-1</v>
      </c>
      <c r="O138" s="2">
        <v>-59950</v>
      </c>
      <c r="P138" s="2">
        <v>21039</v>
      </c>
      <c r="Q138" s="4">
        <f t="shared" si="7"/>
        <v>-50378.151260504201</v>
      </c>
      <c r="R138" s="4">
        <f t="shared" si="8"/>
        <v>-21039</v>
      </c>
      <c r="S138" s="4">
        <f t="shared" si="9"/>
        <v>-29339.151260504201</v>
      </c>
    </row>
    <row r="139" spans="1:19" x14ac:dyDescent="0.3">
      <c r="A139">
        <v>300</v>
      </c>
      <c r="B139" t="s">
        <v>16</v>
      </c>
      <c r="C139" t="s">
        <v>490</v>
      </c>
      <c r="D139" s="1" t="s">
        <v>491</v>
      </c>
      <c r="E139" t="s">
        <v>492</v>
      </c>
      <c r="F139" t="s">
        <v>20</v>
      </c>
      <c r="G139" t="s">
        <v>21</v>
      </c>
      <c r="H139" t="s">
        <v>320</v>
      </c>
      <c r="I139" t="s">
        <v>23</v>
      </c>
      <c r="J139" t="s">
        <v>24</v>
      </c>
      <c r="K139" s="1" t="s">
        <v>383</v>
      </c>
      <c r="L139" t="s">
        <v>26</v>
      </c>
      <c r="M139">
        <v>25494</v>
      </c>
      <c r="N139">
        <v>-1</v>
      </c>
      <c r="O139" s="2">
        <v>-49990</v>
      </c>
      <c r="P139" s="2">
        <v>27469</v>
      </c>
      <c r="Q139" s="4">
        <f t="shared" si="7"/>
        <v>-42008.403361344543</v>
      </c>
      <c r="R139" s="4">
        <f t="shared" si="8"/>
        <v>-27469</v>
      </c>
      <c r="S139" s="4">
        <f t="shared" si="9"/>
        <v>-14539.403361344543</v>
      </c>
    </row>
    <row r="140" spans="1:19" x14ac:dyDescent="0.3">
      <c r="A140">
        <v>300</v>
      </c>
      <c r="B140" t="s">
        <v>16</v>
      </c>
      <c r="C140" t="s">
        <v>493</v>
      </c>
      <c r="D140" s="1" t="s">
        <v>494</v>
      </c>
      <c r="E140" t="s">
        <v>495</v>
      </c>
      <c r="F140" t="s">
        <v>20</v>
      </c>
      <c r="G140" t="s">
        <v>21</v>
      </c>
      <c r="H140" t="s">
        <v>467</v>
      </c>
      <c r="I140" t="s">
        <v>23</v>
      </c>
      <c r="J140" t="s">
        <v>31</v>
      </c>
      <c r="K140" s="1" t="s">
        <v>383</v>
      </c>
      <c r="L140" t="s">
        <v>26</v>
      </c>
      <c r="M140">
        <v>25495</v>
      </c>
      <c r="N140">
        <v>-1</v>
      </c>
      <c r="O140" s="2">
        <v>-49990</v>
      </c>
      <c r="P140" s="2">
        <v>27036</v>
      </c>
      <c r="Q140" s="4">
        <f t="shared" si="7"/>
        <v>-42008.403361344543</v>
      </c>
      <c r="R140" s="4">
        <f t="shared" si="8"/>
        <v>-27036</v>
      </c>
      <c r="S140" s="4">
        <f t="shared" si="9"/>
        <v>-14972.403361344543</v>
      </c>
    </row>
    <row r="141" spans="1:19" x14ac:dyDescent="0.3">
      <c r="A141">
        <v>300</v>
      </c>
      <c r="B141" t="s">
        <v>16</v>
      </c>
      <c r="C141" t="s">
        <v>496</v>
      </c>
      <c r="D141" s="1" t="s">
        <v>497</v>
      </c>
      <c r="E141" t="s">
        <v>498</v>
      </c>
      <c r="F141" t="s">
        <v>20</v>
      </c>
      <c r="G141" t="s">
        <v>21</v>
      </c>
      <c r="H141" t="s">
        <v>361</v>
      </c>
      <c r="I141" t="s">
        <v>23</v>
      </c>
      <c r="J141" t="s">
        <v>49</v>
      </c>
      <c r="K141" s="1" t="s">
        <v>383</v>
      </c>
      <c r="L141" t="s">
        <v>26</v>
      </c>
      <c r="M141">
        <v>25496</v>
      </c>
      <c r="N141">
        <v>-1</v>
      </c>
      <c r="O141" s="2">
        <v>-51990</v>
      </c>
      <c r="P141" s="2">
        <v>29347</v>
      </c>
      <c r="Q141" s="4">
        <f t="shared" si="7"/>
        <v>-43689.075630252104</v>
      </c>
      <c r="R141" s="4">
        <f t="shared" si="8"/>
        <v>-29347</v>
      </c>
      <c r="S141" s="4">
        <f t="shared" si="9"/>
        <v>-14342.075630252104</v>
      </c>
    </row>
    <row r="142" spans="1:19" x14ac:dyDescent="0.3">
      <c r="A142">
        <v>300</v>
      </c>
      <c r="B142" t="s">
        <v>16</v>
      </c>
      <c r="C142" t="s">
        <v>499</v>
      </c>
      <c r="D142" s="1" t="s">
        <v>500</v>
      </c>
      <c r="E142" t="s">
        <v>501</v>
      </c>
      <c r="F142" t="s">
        <v>20</v>
      </c>
      <c r="G142" t="s">
        <v>21</v>
      </c>
      <c r="H142" t="s">
        <v>502</v>
      </c>
      <c r="I142" t="s">
        <v>23</v>
      </c>
      <c r="J142" t="s">
        <v>65</v>
      </c>
      <c r="K142" s="1" t="s">
        <v>383</v>
      </c>
      <c r="L142" t="s">
        <v>26</v>
      </c>
      <c r="M142">
        <v>25497</v>
      </c>
      <c r="N142">
        <v>-1</v>
      </c>
      <c r="O142" s="2">
        <v>-59950</v>
      </c>
      <c r="P142" s="2">
        <v>15254</v>
      </c>
      <c r="Q142" s="4">
        <f t="shared" si="7"/>
        <v>-50378.151260504201</v>
      </c>
      <c r="R142" s="4">
        <f t="shared" si="8"/>
        <v>-15254</v>
      </c>
      <c r="S142" s="4">
        <f t="shared" si="9"/>
        <v>-35124.151260504201</v>
      </c>
    </row>
    <row r="143" spans="1:19" x14ac:dyDescent="0.3">
      <c r="A143">
        <v>300</v>
      </c>
      <c r="B143" t="s">
        <v>16</v>
      </c>
      <c r="C143" t="s">
        <v>503</v>
      </c>
      <c r="D143" s="1" t="s">
        <v>504</v>
      </c>
      <c r="E143" t="s">
        <v>505</v>
      </c>
      <c r="F143" t="s">
        <v>20</v>
      </c>
      <c r="G143" t="s">
        <v>21</v>
      </c>
      <c r="H143" t="s">
        <v>506</v>
      </c>
      <c r="I143" t="s">
        <v>23</v>
      </c>
      <c r="J143" t="s">
        <v>65</v>
      </c>
      <c r="K143" s="1" t="s">
        <v>383</v>
      </c>
      <c r="L143" t="s">
        <v>26</v>
      </c>
      <c r="M143">
        <v>25498</v>
      </c>
      <c r="N143">
        <v>-1</v>
      </c>
      <c r="O143" s="2">
        <v>-39990</v>
      </c>
      <c r="P143" s="2">
        <v>14064</v>
      </c>
      <c r="Q143" s="4">
        <f t="shared" si="7"/>
        <v>-33605.042016806721</v>
      </c>
      <c r="R143" s="4">
        <f t="shared" si="8"/>
        <v>-14064</v>
      </c>
      <c r="S143" s="4">
        <f t="shared" si="9"/>
        <v>-19541.042016806721</v>
      </c>
    </row>
    <row r="144" spans="1:19" x14ac:dyDescent="0.3">
      <c r="A144">
        <v>300</v>
      </c>
      <c r="B144" t="s">
        <v>16</v>
      </c>
      <c r="C144" t="s">
        <v>507</v>
      </c>
      <c r="D144" s="1" t="s">
        <v>508</v>
      </c>
      <c r="E144" t="s">
        <v>509</v>
      </c>
      <c r="F144" t="s">
        <v>20</v>
      </c>
      <c r="G144" t="s">
        <v>21</v>
      </c>
      <c r="H144" t="s">
        <v>510</v>
      </c>
      <c r="I144" t="s">
        <v>23</v>
      </c>
      <c r="J144" t="s">
        <v>65</v>
      </c>
      <c r="K144" s="1" t="s">
        <v>383</v>
      </c>
      <c r="L144" t="s">
        <v>26</v>
      </c>
      <c r="M144">
        <v>25499</v>
      </c>
      <c r="N144">
        <v>-1</v>
      </c>
      <c r="O144" s="2">
        <v>-37990</v>
      </c>
      <c r="P144" s="2">
        <v>17194</v>
      </c>
      <c r="Q144" s="4">
        <f t="shared" si="7"/>
        <v>-31924.36974789916</v>
      </c>
      <c r="R144" s="4">
        <f t="shared" si="8"/>
        <v>-17194</v>
      </c>
      <c r="S144" s="4">
        <f t="shared" si="9"/>
        <v>-14730.36974789916</v>
      </c>
    </row>
    <row r="145" spans="1:19" x14ac:dyDescent="0.3">
      <c r="A145">
        <v>300</v>
      </c>
      <c r="B145" t="s">
        <v>16</v>
      </c>
      <c r="C145" t="s">
        <v>511</v>
      </c>
      <c r="D145" s="1" t="s">
        <v>512</v>
      </c>
      <c r="E145" t="s">
        <v>513</v>
      </c>
      <c r="F145" t="s">
        <v>20</v>
      </c>
      <c r="G145" t="s">
        <v>21</v>
      </c>
      <c r="H145" t="s">
        <v>30</v>
      </c>
      <c r="I145" t="s">
        <v>23</v>
      </c>
      <c r="J145" t="s">
        <v>31</v>
      </c>
      <c r="K145" s="1" t="s">
        <v>383</v>
      </c>
      <c r="L145" t="s">
        <v>26</v>
      </c>
      <c r="M145">
        <v>25500</v>
      </c>
      <c r="N145">
        <v>-1</v>
      </c>
      <c r="O145" s="2">
        <v>-34990</v>
      </c>
      <c r="P145" s="2">
        <v>27099</v>
      </c>
      <c r="Q145" s="4">
        <f t="shared" si="7"/>
        <v>-29403.361344537818</v>
      </c>
      <c r="R145" s="4">
        <f t="shared" si="8"/>
        <v>-27099</v>
      </c>
      <c r="S145" s="4">
        <f t="shared" si="9"/>
        <v>-2304.3613445378178</v>
      </c>
    </row>
    <row r="146" spans="1:19" x14ac:dyDescent="0.3">
      <c r="A146">
        <v>300</v>
      </c>
      <c r="B146" t="s">
        <v>16</v>
      </c>
      <c r="C146" t="s">
        <v>514</v>
      </c>
      <c r="D146" s="1" t="s">
        <v>515</v>
      </c>
      <c r="E146" t="s">
        <v>516</v>
      </c>
      <c r="F146" t="s">
        <v>20</v>
      </c>
      <c r="G146" t="s">
        <v>21</v>
      </c>
      <c r="H146" t="s">
        <v>517</v>
      </c>
      <c r="I146" t="s">
        <v>23</v>
      </c>
      <c r="J146" t="s">
        <v>49</v>
      </c>
      <c r="K146" s="1" t="s">
        <v>383</v>
      </c>
      <c r="L146" t="s">
        <v>26</v>
      </c>
      <c r="M146">
        <v>25501</v>
      </c>
      <c r="N146">
        <v>-1</v>
      </c>
      <c r="O146" s="2">
        <v>-44990</v>
      </c>
      <c r="P146" s="2">
        <v>20826</v>
      </c>
      <c r="Q146" s="4">
        <f t="shared" si="7"/>
        <v>-37806.722689075636</v>
      </c>
      <c r="R146" s="4">
        <f t="shared" si="8"/>
        <v>-20826</v>
      </c>
      <c r="S146" s="4">
        <f t="shared" si="9"/>
        <v>-16980.722689075636</v>
      </c>
    </row>
    <row r="147" spans="1:19" x14ac:dyDescent="0.3">
      <c r="A147">
        <v>300</v>
      </c>
      <c r="B147" t="s">
        <v>16</v>
      </c>
      <c r="C147" t="s">
        <v>518</v>
      </c>
      <c r="D147" s="1" t="s">
        <v>519</v>
      </c>
      <c r="E147" t="s">
        <v>520</v>
      </c>
      <c r="F147" t="s">
        <v>20</v>
      </c>
      <c r="G147" t="s">
        <v>21</v>
      </c>
      <c r="H147" t="s">
        <v>521</v>
      </c>
      <c r="I147" t="s">
        <v>23</v>
      </c>
      <c r="J147" t="s">
        <v>65</v>
      </c>
      <c r="K147" s="1" t="s">
        <v>383</v>
      </c>
      <c r="L147" t="s">
        <v>26</v>
      </c>
      <c r="M147">
        <v>25502</v>
      </c>
      <c r="N147">
        <v>-1</v>
      </c>
      <c r="O147" s="2">
        <v>-59950</v>
      </c>
      <c r="P147" s="2">
        <v>17416</v>
      </c>
      <c r="Q147" s="4">
        <f t="shared" si="7"/>
        <v>-50378.151260504201</v>
      </c>
      <c r="R147" s="4">
        <f t="shared" si="8"/>
        <v>-17416</v>
      </c>
      <c r="S147" s="4">
        <f t="shared" si="9"/>
        <v>-32962.151260504201</v>
      </c>
    </row>
    <row r="148" spans="1:19" x14ac:dyDescent="0.3">
      <c r="A148">
        <v>300</v>
      </c>
      <c r="B148" t="s">
        <v>16</v>
      </c>
      <c r="C148" t="s">
        <v>522</v>
      </c>
      <c r="D148" s="1" t="s">
        <v>523</v>
      </c>
      <c r="E148" t="s">
        <v>524</v>
      </c>
      <c r="F148" t="s">
        <v>20</v>
      </c>
      <c r="G148" t="s">
        <v>21</v>
      </c>
      <c r="H148" t="s">
        <v>253</v>
      </c>
      <c r="I148" t="s">
        <v>23</v>
      </c>
      <c r="J148" t="s">
        <v>49</v>
      </c>
      <c r="K148" s="1" t="s">
        <v>383</v>
      </c>
      <c r="L148" t="s">
        <v>26</v>
      </c>
      <c r="M148">
        <v>25503</v>
      </c>
      <c r="N148">
        <v>-1</v>
      </c>
      <c r="O148" s="2">
        <v>-39990</v>
      </c>
      <c r="P148" s="2">
        <v>22482</v>
      </c>
      <c r="Q148" s="4">
        <f t="shared" si="7"/>
        <v>-33605.042016806721</v>
      </c>
      <c r="R148" s="4">
        <f t="shared" si="8"/>
        <v>-22482</v>
      </c>
      <c r="S148" s="4">
        <f t="shared" si="9"/>
        <v>-11123.042016806721</v>
      </c>
    </row>
    <row r="149" spans="1:19" x14ac:dyDescent="0.3">
      <c r="A149">
        <v>300</v>
      </c>
      <c r="B149" t="s">
        <v>16</v>
      </c>
      <c r="C149" t="s">
        <v>525</v>
      </c>
      <c r="D149" s="1" t="s">
        <v>526</v>
      </c>
      <c r="E149" t="s">
        <v>256</v>
      </c>
      <c r="F149" t="s">
        <v>20</v>
      </c>
      <c r="G149" t="s">
        <v>21</v>
      </c>
      <c r="H149" t="s">
        <v>257</v>
      </c>
      <c r="I149" t="s">
        <v>23</v>
      </c>
      <c r="J149" t="s">
        <v>49</v>
      </c>
      <c r="K149" s="1" t="s">
        <v>383</v>
      </c>
      <c r="L149" t="s">
        <v>26</v>
      </c>
      <c r="M149">
        <v>25504</v>
      </c>
      <c r="N149">
        <v>-1</v>
      </c>
      <c r="O149" s="2">
        <v>-59990</v>
      </c>
      <c r="P149" s="2">
        <v>23021</v>
      </c>
      <c r="Q149" s="4">
        <f t="shared" si="7"/>
        <v>-50411.764705882357</v>
      </c>
      <c r="R149" s="4">
        <f t="shared" si="8"/>
        <v>-23021</v>
      </c>
      <c r="S149" s="4">
        <f t="shared" si="9"/>
        <v>-27390.764705882357</v>
      </c>
    </row>
    <row r="150" spans="1:19" x14ac:dyDescent="0.3">
      <c r="A150">
        <v>300</v>
      </c>
      <c r="B150" t="s">
        <v>16</v>
      </c>
      <c r="C150" t="s">
        <v>77</v>
      </c>
      <c r="D150" s="1" t="s">
        <v>78</v>
      </c>
      <c r="E150" t="s">
        <v>79</v>
      </c>
      <c r="F150" t="s">
        <v>20</v>
      </c>
      <c r="G150" t="s">
        <v>21</v>
      </c>
      <c r="H150" t="s">
        <v>80</v>
      </c>
      <c r="I150" t="s">
        <v>23</v>
      </c>
      <c r="J150" t="s">
        <v>65</v>
      </c>
      <c r="K150" s="1" t="s">
        <v>383</v>
      </c>
      <c r="L150" t="s">
        <v>26</v>
      </c>
      <c r="M150">
        <v>25505</v>
      </c>
      <c r="N150">
        <v>-1</v>
      </c>
      <c r="O150" s="2">
        <v>-39990</v>
      </c>
      <c r="P150" s="2">
        <v>25095</v>
      </c>
      <c r="Q150" s="4">
        <f t="shared" si="7"/>
        <v>-33605.042016806721</v>
      </c>
      <c r="R150" s="4">
        <f t="shared" si="8"/>
        <v>-25095</v>
      </c>
      <c r="S150" s="4">
        <f t="shared" si="9"/>
        <v>-8510.0420168067212</v>
      </c>
    </row>
    <row r="151" spans="1:19" x14ac:dyDescent="0.3">
      <c r="A151">
        <v>300</v>
      </c>
      <c r="B151" t="s">
        <v>16</v>
      </c>
      <c r="C151" t="s">
        <v>527</v>
      </c>
      <c r="D151" s="1" t="s">
        <v>528</v>
      </c>
      <c r="E151" t="s">
        <v>249</v>
      </c>
      <c r="F151" t="s">
        <v>20</v>
      </c>
      <c r="G151" t="s">
        <v>21</v>
      </c>
      <c r="H151" t="s">
        <v>138</v>
      </c>
      <c r="I151" t="s">
        <v>23</v>
      </c>
      <c r="J151" t="s">
        <v>31</v>
      </c>
      <c r="K151" s="1" t="s">
        <v>383</v>
      </c>
      <c r="L151" t="s">
        <v>26</v>
      </c>
      <c r="M151">
        <v>25506</v>
      </c>
      <c r="N151">
        <v>-1</v>
      </c>
      <c r="O151" s="2">
        <v>-48990</v>
      </c>
      <c r="P151" s="2">
        <v>24705</v>
      </c>
      <c r="Q151" s="4">
        <f t="shared" si="7"/>
        <v>-41168.067226890758</v>
      </c>
      <c r="R151" s="4">
        <f t="shared" si="8"/>
        <v>-24705</v>
      </c>
      <c r="S151" s="4">
        <f t="shared" si="9"/>
        <v>-16463.067226890758</v>
      </c>
    </row>
    <row r="152" spans="1:19" x14ac:dyDescent="0.3">
      <c r="A152">
        <v>300</v>
      </c>
      <c r="B152" t="s">
        <v>16</v>
      </c>
      <c r="C152" t="s">
        <v>529</v>
      </c>
      <c r="D152" s="1" t="s">
        <v>530</v>
      </c>
      <c r="E152" t="s">
        <v>531</v>
      </c>
      <c r="F152" t="s">
        <v>20</v>
      </c>
      <c r="G152" t="s">
        <v>21</v>
      </c>
      <c r="H152" t="s">
        <v>289</v>
      </c>
      <c r="I152" t="s">
        <v>23</v>
      </c>
      <c r="J152" t="s">
        <v>65</v>
      </c>
      <c r="K152" s="1" t="s">
        <v>383</v>
      </c>
      <c r="L152" t="s">
        <v>26</v>
      </c>
      <c r="M152">
        <v>25507</v>
      </c>
      <c r="N152">
        <v>-1</v>
      </c>
      <c r="O152" s="2">
        <v>-49990</v>
      </c>
      <c r="P152" s="2">
        <v>23348</v>
      </c>
      <c r="Q152" s="4">
        <f t="shared" si="7"/>
        <v>-42008.403361344543</v>
      </c>
      <c r="R152" s="4">
        <f t="shared" si="8"/>
        <v>-23348</v>
      </c>
      <c r="S152" s="4">
        <f t="shared" si="9"/>
        <v>-18660.403361344543</v>
      </c>
    </row>
    <row r="153" spans="1:19" x14ac:dyDescent="0.3">
      <c r="A153">
        <v>300</v>
      </c>
      <c r="B153" t="s">
        <v>16</v>
      </c>
      <c r="C153" t="s">
        <v>532</v>
      </c>
      <c r="D153" s="1" t="s">
        <v>533</v>
      </c>
      <c r="E153" t="s">
        <v>534</v>
      </c>
      <c r="F153" t="s">
        <v>20</v>
      </c>
      <c r="G153" t="s">
        <v>21</v>
      </c>
      <c r="H153" t="s">
        <v>293</v>
      </c>
      <c r="I153" t="s">
        <v>23</v>
      </c>
      <c r="J153" t="s">
        <v>294</v>
      </c>
      <c r="K153" s="1" t="s">
        <v>383</v>
      </c>
      <c r="L153" t="s">
        <v>26</v>
      </c>
      <c r="M153">
        <v>25508</v>
      </c>
      <c r="N153">
        <v>-1</v>
      </c>
      <c r="O153" s="2">
        <v>-44990</v>
      </c>
      <c r="P153" s="2">
        <v>24999</v>
      </c>
      <c r="Q153" s="4">
        <f t="shared" si="7"/>
        <v>-37806.722689075636</v>
      </c>
      <c r="R153" s="4">
        <f t="shared" si="8"/>
        <v>-24999</v>
      </c>
      <c r="S153" s="4">
        <f t="shared" si="9"/>
        <v>-12807.722689075636</v>
      </c>
    </row>
    <row r="154" spans="1:19" x14ac:dyDescent="0.3">
      <c r="A154">
        <v>300</v>
      </c>
      <c r="B154" t="s">
        <v>16</v>
      </c>
      <c r="C154" t="s">
        <v>535</v>
      </c>
      <c r="D154" s="1" t="s">
        <v>536</v>
      </c>
      <c r="E154" t="s">
        <v>432</v>
      </c>
      <c r="F154" t="s">
        <v>20</v>
      </c>
      <c r="G154" t="s">
        <v>21</v>
      </c>
      <c r="H154" t="s">
        <v>361</v>
      </c>
      <c r="I154" t="s">
        <v>23</v>
      </c>
      <c r="J154" t="s">
        <v>49</v>
      </c>
      <c r="K154" s="1" t="s">
        <v>383</v>
      </c>
      <c r="L154" t="s">
        <v>26</v>
      </c>
      <c r="M154">
        <v>25509</v>
      </c>
      <c r="N154">
        <v>-1</v>
      </c>
      <c r="O154" s="2">
        <v>-51990</v>
      </c>
      <c r="P154" s="2">
        <v>27718</v>
      </c>
      <c r="Q154" s="4">
        <f t="shared" si="7"/>
        <v>-43689.075630252104</v>
      </c>
      <c r="R154" s="4">
        <f t="shared" si="8"/>
        <v>-27718</v>
      </c>
      <c r="S154" s="4">
        <f t="shared" si="9"/>
        <v>-15971.075630252104</v>
      </c>
    </row>
    <row r="155" spans="1:19" x14ac:dyDescent="0.3">
      <c r="A155">
        <v>300</v>
      </c>
      <c r="B155" t="s">
        <v>16</v>
      </c>
      <c r="C155" t="s">
        <v>191</v>
      </c>
      <c r="D155" s="1" t="s">
        <v>192</v>
      </c>
      <c r="E155" t="s">
        <v>193</v>
      </c>
      <c r="F155" t="s">
        <v>20</v>
      </c>
      <c r="G155" t="s">
        <v>21</v>
      </c>
      <c r="H155" t="s">
        <v>147</v>
      </c>
      <c r="I155" t="s">
        <v>23</v>
      </c>
      <c r="J155" t="s">
        <v>31</v>
      </c>
      <c r="K155" s="1" t="s">
        <v>383</v>
      </c>
      <c r="L155" t="s">
        <v>26</v>
      </c>
      <c r="M155">
        <v>25510</v>
      </c>
      <c r="N155">
        <v>-1</v>
      </c>
      <c r="O155" s="2">
        <v>-44990</v>
      </c>
      <c r="P155" s="2">
        <v>26532</v>
      </c>
      <c r="Q155" s="4">
        <f t="shared" si="7"/>
        <v>-37806.722689075636</v>
      </c>
      <c r="R155" s="4">
        <f t="shared" si="8"/>
        <v>-26532</v>
      </c>
      <c r="S155" s="4">
        <f t="shared" si="9"/>
        <v>-11274.722689075636</v>
      </c>
    </row>
    <row r="156" spans="1:19" x14ac:dyDescent="0.3">
      <c r="A156">
        <v>300</v>
      </c>
      <c r="B156" t="s">
        <v>16</v>
      </c>
      <c r="C156" t="s">
        <v>258</v>
      </c>
      <c r="D156" s="1" t="s">
        <v>259</v>
      </c>
      <c r="E156" t="s">
        <v>42</v>
      </c>
      <c r="F156" t="s">
        <v>20</v>
      </c>
      <c r="G156" t="s">
        <v>21</v>
      </c>
      <c r="H156" t="s">
        <v>43</v>
      </c>
      <c r="I156" t="s">
        <v>23</v>
      </c>
      <c r="J156" t="s">
        <v>44</v>
      </c>
      <c r="K156" s="1" t="s">
        <v>383</v>
      </c>
      <c r="L156" t="s">
        <v>26</v>
      </c>
      <c r="M156">
        <v>25511</v>
      </c>
      <c r="N156">
        <v>-1</v>
      </c>
      <c r="O156" s="2">
        <v>-34990</v>
      </c>
      <c r="P156" s="2">
        <v>20494</v>
      </c>
      <c r="Q156" s="4">
        <f t="shared" si="7"/>
        <v>-29403.361344537818</v>
      </c>
      <c r="R156" s="4">
        <f t="shared" si="8"/>
        <v>-20494</v>
      </c>
      <c r="S156" s="4">
        <f t="shared" si="9"/>
        <v>-8909.3613445378178</v>
      </c>
    </row>
    <row r="157" spans="1:19" x14ac:dyDescent="0.3">
      <c r="A157">
        <v>300</v>
      </c>
      <c r="B157" t="s">
        <v>16</v>
      </c>
      <c r="C157" t="s">
        <v>537</v>
      </c>
      <c r="D157" s="1" t="s">
        <v>538</v>
      </c>
      <c r="E157" t="s">
        <v>539</v>
      </c>
      <c r="F157" t="s">
        <v>20</v>
      </c>
      <c r="G157" t="s">
        <v>21</v>
      </c>
      <c r="H157" t="s">
        <v>151</v>
      </c>
      <c r="I157" t="s">
        <v>23</v>
      </c>
      <c r="J157" t="s">
        <v>31</v>
      </c>
      <c r="K157" s="1" t="s">
        <v>383</v>
      </c>
      <c r="L157" t="s">
        <v>26</v>
      </c>
      <c r="M157">
        <v>25512</v>
      </c>
      <c r="N157">
        <v>-1</v>
      </c>
      <c r="O157" s="2">
        <v>-48990</v>
      </c>
      <c r="P157" s="2">
        <v>25031</v>
      </c>
      <c r="Q157" s="4">
        <f t="shared" si="7"/>
        <v>-41168.067226890758</v>
      </c>
      <c r="R157" s="4">
        <f t="shared" si="8"/>
        <v>-25031</v>
      </c>
      <c r="S157" s="4">
        <f t="shared" si="9"/>
        <v>-16137.067226890758</v>
      </c>
    </row>
    <row r="158" spans="1:19" x14ac:dyDescent="0.3">
      <c r="A158">
        <v>300</v>
      </c>
      <c r="B158" t="s">
        <v>16</v>
      </c>
      <c r="C158" t="s">
        <v>540</v>
      </c>
      <c r="D158" s="1" t="s">
        <v>541</v>
      </c>
      <c r="E158" t="s">
        <v>63</v>
      </c>
      <c r="F158" t="s">
        <v>20</v>
      </c>
      <c r="G158" t="s">
        <v>21</v>
      </c>
      <c r="H158" t="s">
        <v>64</v>
      </c>
      <c r="I158" t="s">
        <v>23</v>
      </c>
      <c r="J158" t="s">
        <v>65</v>
      </c>
      <c r="K158" s="1" t="s">
        <v>383</v>
      </c>
      <c r="L158" t="s">
        <v>26</v>
      </c>
      <c r="M158">
        <v>25513</v>
      </c>
      <c r="N158">
        <v>-1</v>
      </c>
      <c r="O158" s="2">
        <v>-34990</v>
      </c>
      <c r="P158" s="2">
        <v>14950</v>
      </c>
      <c r="Q158" s="4">
        <f t="shared" si="7"/>
        <v>-29403.361344537818</v>
      </c>
      <c r="R158" s="4">
        <f t="shared" si="8"/>
        <v>-14950</v>
      </c>
      <c r="S158" s="4">
        <f t="shared" si="9"/>
        <v>-14453.361344537818</v>
      </c>
    </row>
    <row r="159" spans="1:19" x14ac:dyDescent="0.3">
      <c r="A159">
        <v>300</v>
      </c>
      <c r="B159" t="s">
        <v>16</v>
      </c>
      <c r="C159" t="s">
        <v>542</v>
      </c>
      <c r="D159" s="1" t="s">
        <v>543</v>
      </c>
      <c r="E159" t="s">
        <v>544</v>
      </c>
      <c r="F159" t="s">
        <v>20</v>
      </c>
      <c r="G159" t="s">
        <v>21</v>
      </c>
      <c r="H159" t="s">
        <v>510</v>
      </c>
      <c r="I159" t="s">
        <v>23</v>
      </c>
      <c r="J159" t="s">
        <v>65</v>
      </c>
      <c r="K159" s="1" t="s">
        <v>383</v>
      </c>
      <c r="L159" t="s">
        <v>26</v>
      </c>
      <c r="M159">
        <v>25514</v>
      </c>
      <c r="N159">
        <v>-1</v>
      </c>
      <c r="O159" s="2">
        <v>-37990</v>
      </c>
      <c r="P159" s="2">
        <v>17194</v>
      </c>
      <c r="Q159" s="4">
        <f t="shared" si="7"/>
        <v>-31924.36974789916</v>
      </c>
      <c r="R159" s="4">
        <f t="shared" si="8"/>
        <v>-17194</v>
      </c>
      <c r="S159" s="4">
        <f t="shared" si="9"/>
        <v>-14730.36974789916</v>
      </c>
    </row>
    <row r="160" spans="1:19" x14ac:dyDescent="0.3">
      <c r="A160">
        <v>300</v>
      </c>
      <c r="B160" t="s">
        <v>16</v>
      </c>
      <c r="C160" t="s">
        <v>545</v>
      </c>
      <c r="D160" s="1" t="s">
        <v>546</v>
      </c>
      <c r="E160" t="s">
        <v>547</v>
      </c>
      <c r="F160" t="s">
        <v>20</v>
      </c>
      <c r="G160" t="s">
        <v>21</v>
      </c>
      <c r="H160" t="s">
        <v>102</v>
      </c>
      <c r="I160" t="s">
        <v>23</v>
      </c>
      <c r="J160" t="s">
        <v>31</v>
      </c>
      <c r="K160" s="1" t="s">
        <v>383</v>
      </c>
      <c r="L160" t="s">
        <v>26</v>
      </c>
      <c r="M160">
        <v>25515</v>
      </c>
      <c r="N160">
        <v>-1</v>
      </c>
      <c r="O160" s="2">
        <v>-51990</v>
      </c>
      <c r="P160" s="2">
        <v>28950</v>
      </c>
      <c r="Q160" s="4">
        <f t="shared" si="7"/>
        <v>-43689.075630252104</v>
      </c>
      <c r="R160" s="4">
        <f t="shared" si="8"/>
        <v>-28950</v>
      </c>
      <c r="S160" s="4">
        <f t="shared" si="9"/>
        <v>-14739.075630252104</v>
      </c>
    </row>
    <row r="161" spans="1:19" x14ac:dyDescent="0.3">
      <c r="A161">
        <v>300</v>
      </c>
      <c r="B161" t="s">
        <v>16</v>
      </c>
      <c r="C161" t="s">
        <v>548</v>
      </c>
      <c r="D161" s="1" t="s">
        <v>549</v>
      </c>
      <c r="E161" t="s">
        <v>550</v>
      </c>
      <c r="F161" t="s">
        <v>20</v>
      </c>
      <c r="G161" t="s">
        <v>21</v>
      </c>
      <c r="H161" t="s">
        <v>551</v>
      </c>
      <c r="I161" t="s">
        <v>23</v>
      </c>
      <c r="J161" t="s">
        <v>49</v>
      </c>
      <c r="K161" s="1" t="s">
        <v>383</v>
      </c>
      <c r="L161" t="s">
        <v>26</v>
      </c>
      <c r="M161">
        <v>25516</v>
      </c>
      <c r="N161">
        <v>-1</v>
      </c>
      <c r="O161" s="2">
        <v>-39990</v>
      </c>
      <c r="P161" s="2">
        <v>25732</v>
      </c>
      <c r="Q161" s="4">
        <f t="shared" si="7"/>
        <v>-33605.042016806721</v>
      </c>
      <c r="R161" s="4">
        <f t="shared" si="8"/>
        <v>-25732</v>
      </c>
      <c r="S161" s="4">
        <f t="shared" si="9"/>
        <v>-7873.0420168067212</v>
      </c>
    </row>
    <row r="162" spans="1:19" x14ac:dyDescent="0.3">
      <c r="A162">
        <v>300</v>
      </c>
      <c r="B162" t="s">
        <v>16</v>
      </c>
      <c r="C162" t="s">
        <v>552</v>
      </c>
      <c r="D162" s="1" t="s">
        <v>553</v>
      </c>
      <c r="E162" t="s">
        <v>554</v>
      </c>
      <c r="F162" t="s">
        <v>20</v>
      </c>
      <c r="G162" t="s">
        <v>21</v>
      </c>
      <c r="H162" t="s">
        <v>102</v>
      </c>
      <c r="I162" t="s">
        <v>23</v>
      </c>
      <c r="J162" t="s">
        <v>31</v>
      </c>
      <c r="K162" s="1" t="s">
        <v>383</v>
      </c>
      <c r="L162" t="s">
        <v>26</v>
      </c>
      <c r="M162">
        <v>25517</v>
      </c>
      <c r="N162">
        <v>-1</v>
      </c>
      <c r="O162" s="2">
        <v>-48990</v>
      </c>
      <c r="P162" s="2">
        <v>28749</v>
      </c>
      <c r="Q162" s="4">
        <f t="shared" si="7"/>
        <v>-41168.067226890758</v>
      </c>
      <c r="R162" s="4">
        <f t="shared" si="8"/>
        <v>-28749</v>
      </c>
      <c r="S162" s="4">
        <f t="shared" si="9"/>
        <v>-12419.067226890758</v>
      </c>
    </row>
    <row r="163" spans="1:19" x14ac:dyDescent="0.3">
      <c r="A163">
        <v>300</v>
      </c>
      <c r="B163" t="s">
        <v>16</v>
      </c>
      <c r="C163" t="s">
        <v>555</v>
      </c>
      <c r="D163" s="1" t="s">
        <v>556</v>
      </c>
      <c r="E163" t="s">
        <v>513</v>
      </c>
      <c r="F163" t="s">
        <v>20</v>
      </c>
      <c r="G163" t="s">
        <v>21</v>
      </c>
      <c r="H163" t="s">
        <v>30</v>
      </c>
      <c r="I163" t="s">
        <v>23</v>
      </c>
      <c r="J163" t="s">
        <v>31</v>
      </c>
      <c r="K163" s="1" t="s">
        <v>383</v>
      </c>
      <c r="L163" t="s">
        <v>26</v>
      </c>
      <c r="M163">
        <v>25518</v>
      </c>
      <c r="N163">
        <v>-1</v>
      </c>
      <c r="O163" s="2">
        <v>-34990</v>
      </c>
      <c r="P163" s="2">
        <v>27051</v>
      </c>
      <c r="Q163" s="4">
        <f t="shared" si="7"/>
        <v>-29403.361344537818</v>
      </c>
      <c r="R163" s="4">
        <f t="shared" si="8"/>
        <v>-27051</v>
      </c>
      <c r="S163" s="4">
        <f t="shared" si="9"/>
        <v>-2352.3613445378178</v>
      </c>
    </row>
    <row r="164" spans="1:19" x14ac:dyDescent="0.3">
      <c r="A164">
        <v>300</v>
      </c>
      <c r="B164" t="s">
        <v>16</v>
      </c>
      <c r="C164" t="s">
        <v>557</v>
      </c>
      <c r="D164" s="1" t="s">
        <v>558</v>
      </c>
      <c r="E164" t="s">
        <v>559</v>
      </c>
      <c r="F164" t="s">
        <v>20</v>
      </c>
      <c r="G164" t="s">
        <v>21</v>
      </c>
      <c r="H164" t="s">
        <v>289</v>
      </c>
      <c r="I164" t="s">
        <v>23</v>
      </c>
      <c r="J164" t="s">
        <v>65</v>
      </c>
      <c r="K164" s="1" t="s">
        <v>383</v>
      </c>
      <c r="L164" t="s">
        <v>26</v>
      </c>
      <c r="M164">
        <v>25519</v>
      </c>
      <c r="N164">
        <v>-1</v>
      </c>
      <c r="O164" s="2">
        <v>-48990</v>
      </c>
      <c r="P164" s="2">
        <v>21100</v>
      </c>
      <c r="Q164" s="4">
        <f t="shared" si="7"/>
        <v>-41168.067226890758</v>
      </c>
      <c r="R164" s="4">
        <f t="shared" si="8"/>
        <v>-21100</v>
      </c>
      <c r="S164" s="4">
        <f t="shared" si="9"/>
        <v>-20068.067226890758</v>
      </c>
    </row>
    <row r="165" spans="1:19" x14ac:dyDescent="0.3">
      <c r="A165">
        <v>300</v>
      </c>
      <c r="B165" t="s">
        <v>16</v>
      </c>
      <c r="C165" t="s">
        <v>527</v>
      </c>
      <c r="D165" s="1" t="s">
        <v>528</v>
      </c>
      <c r="E165" t="s">
        <v>249</v>
      </c>
      <c r="F165" t="s">
        <v>20</v>
      </c>
      <c r="G165" t="s">
        <v>21</v>
      </c>
      <c r="H165" t="s">
        <v>138</v>
      </c>
      <c r="I165" t="s">
        <v>23</v>
      </c>
      <c r="J165" t="s">
        <v>31</v>
      </c>
      <c r="K165" s="1" t="s">
        <v>383</v>
      </c>
      <c r="L165" t="s">
        <v>26</v>
      </c>
      <c r="M165">
        <v>25520</v>
      </c>
      <c r="N165">
        <v>-1</v>
      </c>
      <c r="O165" s="2">
        <v>-48990</v>
      </c>
      <c r="P165" s="2">
        <v>24705</v>
      </c>
      <c r="Q165" s="4">
        <f t="shared" si="7"/>
        <v>-41168.067226890758</v>
      </c>
      <c r="R165" s="4">
        <f t="shared" si="8"/>
        <v>-24705</v>
      </c>
      <c r="S165" s="4">
        <f t="shared" si="9"/>
        <v>-16463.067226890758</v>
      </c>
    </row>
    <row r="166" spans="1:19" x14ac:dyDescent="0.3">
      <c r="A166">
        <v>300</v>
      </c>
      <c r="B166" t="s">
        <v>16</v>
      </c>
      <c r="C166" t="s">
        <v>560</v>
      </c>
      <c r="D166" s="1" t="s">
        <v>561</v>
      </c>
      <c r="E166" t="s">
        <v>364</v>
      </c>
      <c r="F166" t="s">
        <v>20</v>
      </c>
      <c r="G166" t="s">
        <v>21</v>
      </c>
      <c r="H166" t="s">
        <v>138</v>
      </c>
      <c r="I166" t="s">
        <v>23</v>
      </c>
      <c r="J166" t="s">
        <v>31</v>
      </c>
      <c r="K166" s="1" t="s">
        <v>383</v>
      </c>
      <c r="L166" t="s">
        <v>26</v>
      </c>
      <c r="M166">
        <v>25521</v>
      </c>
      <c r="N166">
        <v>-1</v>
      </c>
      <c r="O166" s="2">
        <v>-34990</v>
      </c>
      <c r="P166" s="2">
        <v>28687</v>
      </c>
      <c r="Q166" s="4">
        <f t="shared" si="7"/>
        <v>-29403.361344537818</v>
      </c>
      <c r="R166" s="4">
        <f t="shared" si="8"/>
        <v>-28687</v>
      </c>
      <c r="S166" s="4">
        <f t="shared" si="9"/>
        <v>-716.36134453781779</v>
      </c>
    </row>
    <row r="167" spans="1:19" x14ac:dyDescent="0.3">
      <c r="A167">
        <v>300</v>
      </c>
      <c r="B167" t="s">
        <v>16</v>
      </c>
      <c r="C167" t="s">
        <v>562</v>
      </c>
      <c r="D167" s="1" t="s">
        <v>563</v>
      </c>
      <c r="E167" t="s">
        <v>564</v>
      </c>
      <c r="F167" t="s">
        <v>20</v>
      </c>
      <c r="G167" t="s">
        <v>21</v>
      </c>
      <c r="H167" t="s">
        <v>521</v>
      </c>
      <c r="I167" t="s">
        <v>23</v>
      </c>
      <c r="J167" t="s">
        <v>65</v>
      </c>
      <c r="K167" s="1" t="s">
        <v>383</v>
      </c>
      <c r="L167" t="s">
        <v>26</v>
      </c>
      <c r="M167">
        <v>25522</v>
      </c>
      <c r="N167">
        <v>-1</v>
      </c>
      <c r="O167" s="2">
        <v>-49990</v>
      </c>
      <c r="P167" s="2">
        <v>20043</v>
      </c>
      <c r="Q167" s="4">
        <f t="shared" si="7"/>
        <v>-42008.403361344543</v>
      </c>
      <c r="R167" s="4">
        <f t="shared" si="8"/>
        <v>-20043</v>
      </c>
      <c r="S167" s="4">
        <f t="shared" si="9"/>
        <v>-21965.403361344543</v>
      </c>
    </row>
    <row r="168" spans="1:19" x14ac:dyDescent="0.3">
      <c r="A168">
        <v>300</v>
      </c>
      <c r="B168" t="s">
        <v>16</v>
      </c>
      <c r="C168" t="s">
        <v>565</v>
      </c>
      <c r="D168" s="1" t="s">
        <v>566</v>
      </c>
      <c r="E168" t="s">
        <v>567</v>
      </c>
      <c r="F168" t="s">
        <v>20</v>
      </c>
      <c r="G168" t="s">
        <v>21</v>
      </c>
      <c r="H168" t="s">
        <v>568</v>
      </c>
      <c r="I168" t="s">
        <v>23</v>
      </c>
      <c r="J168" t="s">
        <v>31</v>
      </c>
      <c r="K168" s="1" t="s">
        <v>383</v>
      </c>
      <c r="L168" t="s">
        <v>26</v>
      </c>
      <c r="M168">
        <v>25523</v>
      </c>
      <c r="N168">
        <v>-1</v>
      </c>
      <c r="O168" s="2">
        <v>-34990</v>
      </c>
      <c r="P168" s="2">
        <v>22880</v>
      </c>
      <c r="Q168" s="4">
        <f t="shared" si="7"/>
        <v>-29403.361344537818</v>
      </c>
      <c r="R168" s="4">
        <f t="shared" si="8"/>
        <v>-22880</v>
      </c>
      <c r="S168" s="4">
        <f t="shared" si="9"/>
        <v>-6523.3613445378178</v>
      </c>
    </row>
    <row r="169" spans="1:19" x14ac:dyDescent="0.3">
      <c r="A169">
        <v>300</v>
      </c>
      <c r="B169" t="s">
        <v>16</v>
      </c>
      <c r="C169" t="s">
        <v>569</v>
      </c>
      <c r="D169" s="1" t="s">
        <v>570</v>
      </c>
      <c r="E169" t="s">
        <v>571</v>
      </c>
      <c r="F169" t="s">
        <v>20</v>
      </c>
      <c r="G169" t="s">
        <v>21</v>
      </c>
      <c r="H169" t="s">
        <v>184</v>
      </c>
      <c r="I169" t="s">
        <v>23</v>
      </c>
      <c r="J169" t="s">
        <v>31</v>
      </c>
      <c r="K169" s="1" t="s">
        <v>383</v>
      </c>
      <c r="L169" t="s">
        <v>26</v>
      </c>
      <c r="M169">
        <v>25524</v>
      </c>
      <c r="N169">
        <v>-1</v>
      </c>
      <c r="O169" s="2">
        <v>-48990</v>
      </c>
      <c r="P169" s="2">
        <v>24071</v>
      </c>
      <c r="Q169" s="4">
        <f t="shared" si="7"/>
        <v>-41168.067226890758</v>
      </c>
      <c r="R169" s="4">
        <f t="shared" si="8"/>
        <v>-24071</v>
      </c>
      <c r="S169" s="4">
        <f t="shared" si="9"/>
        <v>-17097.067226890758</v>
      </c>
    </row>
    <row r="170" spans="1:19" x14ac:dyDescent="0.3">
      <c r="A170">
        <v>300</v>
      </c>
      <c r="B170" t="s">
        <v>16</v>
      </c>
      <c r="C170" t="s">
        <v>572</v>
      </c>
      <c r="D170" s="1" t="s">
        <v>573</v>
      </c>
      <c r="E170" t="s">
        <v>574</v>
      </c>
      <c r="F170" t="s">
        <v>20</v>
      </c>
      <c r="G170" t="s">
        <v>21</v>
      </c>
      <c r="H170" t="s">
        <v>575</v>
      </c>
      <c r="I170" t="s">
        <v>23</v>
      </c>
      <c r="J170" t="s">
        <v>24</v>
      </c>
      <c r="K170" s="1" t="s">
        <v>383</v>
      </c>
      <c r="L170" t="s">
        <v>26</v>
      </c>
      <c r="M170">
        <v>25525</v>
      </c>
      <c r="N170">
        <v>-1</v>
      </c>
      <c r="O170" s="2">
        <v>-64989</v>
      </c>
      <c r="P170" s="2">
        <v>37255</v>
      </c>
      <c r="Q170" s="4">
        <f t="shared" si="7"/>
        <v>-54612.60504201681</v>
      </c>
      <c r="R170" s="4">
        <f t="shared" si="8"/>
        <v>-37255</v>
      </c>
      <c r="S170" s="4">
        <f t="shared" si="9"/>
        <v>-17357.60504201681</v>
      </c>
    </row>
    <row r="171" spans="1:19" x14ac:dyDescent="0.3">
      <c r="A171">
        <v>300</v>
      </c>
      <c r="B171" t="s">
        <v>16</v>
      </c>
      <c r="C171" t="s">
        <v>576</v>
      </c>
      <c r="D171" s="1" t="s">
        <v>577</v>
      </c>
      <c r="E171" t="s">
        <v>55</v>
      </c>
      <c r="F171" t="s">
        <v>20</v>
      </c>
      <c r="G171" t="s">
        <v>21</v>
      </c>
      <c r="H171" t="s">
        <v>56</v>
      </c>
      <c r="I171" t="s">
        <v>23</v>
      </c>
      <c r="J171" t="s">
        <v>49</v>
      </c>
      <c r="K171" s="1" t="s">
        <v>383</v>
      </c>
      <c r="L171" t="s">
        <v>26</v>
      </c>
      <c r="M171">
        <v>25526</v>
      </c>
      <c r="N171">
        <v>-1</v>
      </c>
      <c r="O171" s="2">
        <v>-39990</v>
      </c>
      <c r="P171" s="2">
        <v>21067</v>
      </c>
      <c r="Q171" s="4">
        <f t="shared" si="7"/>
        <v>-33605.042016806721</v>
      </c>
      <c r="R171" s="4">
        <f t="shared" si="8"/>
        <v>-21067</v>
      </c>
      <c r="S171" s="4">
        <f t="shared" si="9"/>
        <v>-12538.042016806721</v>
      </c>
    </row>
    <row r="172" spans="1:19" x14ac:dyDescent="0.3">
      <c r="A172">
        <v>300</v>
      </c>
      <c r="B172" t="s">
        <v>16</v>
      </c>
      <c r="C172" t="s">
        <v>578</v>
      </c>
      <c r="D172" s="1" t="s">
        <v>579</v>
      </c>
      <c r="E172" t="s">
        <v>580</v>
      </c>
      <c r="F172" t="s">
        <v>20</v>
      </c>
      <c r="G172" t="s">
        <v>21</v>
      </c>
      <c r="H172" t="s">
        <v>581</v>
      </c>
      <c r="I172" t="s">
        <v>23</v>
      </c>
      <c r="J172" t="s">
        <v>294</v>
      </c>
      <c r="K172" s="1" t="s">
        <v>383</v>
      </c>
      <c r="L172" t="s">
        <v>26</v>
      </c>
      <c r="M172">
        <v>25527</v>
      </c>
      <c r="N172">
        <v>-1</v>
      </c>
      <c r="O172" s="2">
        <v>-41990</v>
      </c>
      <c r="P172" s="2">
        <v>19074</v>
      </c>
      <c r="Q172" s="4">
        <f t="shared" si="7"/>
        <v>-35285.71428571429</v>
      </c>
      <c r="R172" s="4">
        <f t="shared" si="8"/>
        <v>-19074</v>
      </c>
      <c r="S172" s="4">
        <f t="shared" si="9"/>
        <v>-16211.71428571429</v>
      </c>
    </row>
    <row r="173" spans="1:19" x14ac:dyDescent="0.3">
      <c r="A173">
        <v>300</v>
      </c>
      <c r="B173" t="s">
        <v>16</v>
      </c>
      <c r="C173" t="s">
        <v>582</v>
      </c>
      <c r="D173" s="1" t="s">
        <v>583</v>
      </c>
      <c r="E173" t="s">
        <v>524</v>
      </c>
      <c r="F173" t="s">
        <v>20</v>
      </c>
      <c r="G173" t="s">
        <v>21</v>
      </c>
      <c r="H173" t="s">
        <v>253</v>
      </c>
      <c r="I173" t="s">
        <v>23</v>
      </c>
      <c r="J173" t="s">
        <v>49</v>
      </c>
      <c r="K173" s="1" t="s">
        <v>383</v>
      </c>
      <c r="L173" t="s">
        <v>26</v>
      </c>
      <c r="M173">
        <v>25528</v>
      </c>
      <c r="N173">
        <v>-1</v>
      </c>
      <c r="O173" s="2">
        <v>-39990</v>
      </c>
      <c r="P173" s="2">
        <v>22512</v>
      </c>
      <c r="Q173" s="4">
        <f t="shared" si="7"/>
        <v>-33605.042016806721</v>
      </c>
      <c r="R173" s="4">
        <f t="shared" si="8"/>
        <v>-22512</v>
      </c>
      <c r="S173" s="4">
        <f t="shared" si="9"/>
        <v>-11093.042016806721</v>
      </c>
    </row>
    <row r="174" spans="1:19" x14ac:dyDescent="0.3">
      <c r="A174">
        <v>300</v>
      </c>
      <c r="B174" t="s">
        <v>16</v>
      </c>
      <c r="C174" t="s">
        <v>584</v>
      </c>
      <c r="D174" s="1" t="s">
        <v>585</v>
      </c>
      <c r="E174" t="s">
        <v>586</v>
      </c>
      <c r="F174" t="s">
        <v>20</v>
      </c>
      <c r="G174" t="s">
        <v>21</v>
      </c>
      <c r="H174" t="s">
        <v>587</v>
      </c>
      <c r="I174" t="s">
        <v>23</v>
      </c>
      <c r="J174" t="s">
        <v>49</v>
      </c>
      <c r="K174" s="1" t="s">
        <v>383</v>
      </c>
      <c r="L174" t="s">
        <v>26</v>
      </c>
      <c r="M174">
        <v>25529</v>
      </c>
      <c r="N174">
        <v>-1</v>
      </c>
      <c r="O174" s="2">
        <v>-49990</v>
      </c>
      <c r="P174" s="2">
        <v>20824</v>
      </c>
      <c r="Q174" s="4">
        <f t="shared" si="7"/>
        <v>-42008.403361344543</v>
      </c>
      <c r="R174" s="4">
        <f t="shared" si="8"/>
        <v>-20824</v>
      </c>
      <c r="S174" s="4">
        <f t="shared" si="9"/>
        <v>-21184.403361344543</v>
      </c>
    </row>
    <row r="175" spans="1:19" x14ac:dyDescent="0.3">
      <c r="A175">
        <v>300</v>
      </c>
      <c r="B175" t="s">
        <v>16</v>
      </c>
      <c r="C175" t="s">
        <v>588</v>
      </c>
      <c r="D175" s="1" t="s">
        <v>589</v>
      </c>
      <c r="E175" t="s">
        <v>590</v>
      </c>
      <c r="F175" t="s">
        <v>20</v>
      </c>
      <c r="G175" t="s">
        <v>21</v>
      </c>
      <c r="H175" t="s">
        <v>591</v>
      </c>
      <c r="I175" t="s">
        <v>23</v>
      </c>
      <c r="J175" t="s">
        <v>44</v>
      </c>
      <c r="K175" s="1" t="s">
        <v>383</v>
      </c>
      <c r="L175" t="s">
        <v>26</v>
      </c>
      <c r="M175">
        <v>25530</v>
      </c>
      <c r="N175">
        <v>-1</v>
      </c>
      <c r="O175" s="2">
        <v>-59950</v>
      </c>
      <c r="P175" s="2">
        <v>20699</v>
      </c>
      <c r="Q175" s="4">
        <f t="shared" si="7"/>
        <v>-50378.151260504201</v>
      </c>
      <c r="R175" s="4">
        <f t="shared" si="8"/>
        <v>-20699</v>
      </c>
      <c r="S175" s="4">
        <f t="shared" si="9"/>
        <v>-29679.151260504201</v>
      </c>
    </row>
    <row r="176" spans="1:19" x14ac:dyDescent="0.3">
      <c r="A176">
        <v>300</v>
      </c>
      <c r="B176" t="s">
        <v>16</v>
      </c>
      <c r="C176" t="s">
        <v>592</v>
      </c>
      <c r="D176" s="1" t="s">
        <v>593</v>
      </c>
      <c r="E176" t="s">
        <v>594</v>
      </c>
      <c r="F176" t="s">
        <v>20</v>
      </c>
      <c r="G176" t="s">
        <v>21</v>
      </c>
      <c r="H176" t="s">
        <v>581</v>
      </c>
      <c r="I176" t="s">
        <v>23</v>
      </c>
      <c r="J176" t="s">
        <v>294</v>
      </c>
      <c r="K176" s="1" t="s">
        <v>383</v>
      </c>
      <c r="L176" t="s">
        <v>26</v>
      </c>
      <c r="M176">
        <v>25531</v>
      </c>
      <c r="N176">
        <v>-1</v>
      </c>
      <c r="O176" s="2">
        <v>-41990</v>
      </c>
      <c r="P176" s="2">
        <v>18919</v>
      </c>
      <c r="Q176" s="4">
        <f t="shared" si="7"/>
        <v>-35285.71428571429</v>
      </c>
      <c r="R176" s="4">
        <f t="shared" si="8"/>
        <v>-18919</v>
      </c>
      <c r="S176" s="4">
        <f t="shared" si="9"/>
        <v>-16366.71428571429</v>
      </c>
    </row>
    <row r="177" spans="1:19" x14ac:dyDescent="0.3">
      <c r="A177">
        <v>300</v>
      </c>
      <c r="B177" t="s">
        <v>16</v>
      </c>
      <c r="C177" t="s">
        <v>595</v>
      </c>
      <c r="D177" s="1" t="s">
        <v>596</v>
      </c>
      <c r="E177" t="s">
        <v>597</v>
      </c>
      <c r="F177" t="s">
        <v>20</v>
      </c>
      <c r="G177" t="s">
        <v>21</v>
      </c>
      <c r="H177" t="s">
        <v>56</v>
      </c>
      <c r="I177" t="s">
        <v>23</v>
      </c>
      <c r="J177" t="s">
        <v>49</v>
      </c>
      <c r="K177" s="1" t="s">
        <v>383</v>
      </c>
      <c r="L177" t="s">
        <v>26</v>
      </c>
      <c r="M177">
        <v>25532</v>
      </c>
      <c r="N177">
        <v>-1</v>
      </c>
      <c r="O177" s="2">
        <v>-64950</v>
      </c>
      <c r="P177" s="2">
        <v>18780</v>
      </c>
      <c r="Q177" s="4">
        <f t="shared" si="7"/>
        <v>-54579.831932773115</v>
      </c>
      <c r="R177" s="4">
        <f t="shared" si="8"/>
        <v>-18780</v>
      </c>
      <c r="S177" s="4">
        <f t="shared" si="9"/>
        <v>-35799.831932773115</v>
      </c>
    </row>
    <row r="178" spans="1:19" x14ac:dyDescent="0.3">
      <c r="A178">
        <v>300</v>
      </c>
      <c r="B178" t="s">
        <v>16</v>
      </c>
      <c r="C178" t="s">
        <v>598</v>
      </c>
      <c r="D178" s="1" t="s">
        <v>599</v>
      </c>
      <c r="E178" t="s">
        <v>600</v>
      </c>
      <c r="F178" t="s">
        <v>20</v>
      </c>
      <c r="G178" t="s">
        <v>21</v>
      </c>
      <c r="H178" t="s">
        <v>278</v>
      </c>
      <c r="I178" t="s">
        <v>23</v>
      </c>
      <c r="J178" t="s">
        <v>24</v>
      </c>
      <c r="K178" s="1" t="s">
        <v>383</v>
      </c>
      <c r="L178" t="s">
        <v>26</v>
      </c>
      <c r="M178">
        <v>25533</v>
      </c>
      <c r="N178">
        <v>-1</v>
      </c>
      <c r="O178" s="2">
        <v>-49990</v>
      </c>
      <c r="P178" s="2">
        <v>26971</v>
      </c>
      <c r="Q178" s="4">
        <f t="shared" si="7"/>
        <v>-42008.403361344543</v>
      </c>
      <c r="R178" s="4">
        <f t="shared" si="8"/>
        <v>-26971</v>
      </c>
      <c r="S178" s="4">
        <f t="shared" si="9"/>
        <v>-15037.403361344543</v>
      </c>
    </row>
    <row r="179" spans="1:19" x14ac:dyDescent="0.3">
      <c r="A179">
        <v>300</v>
      </c>
      <c r="B179" t="s">
        <v>16</v>
      </c>
      <c r="C179" t="s">
        <v>601</v>
      </c>
      <c r="D179" s="1" t="s">
        <v>602</v>
      </c>
      <c r="E179" t="s">
        <v>603</v>
      </c>
      <c r="F179" t="s">
        <v>20</v>
      </c>
      <c r="G179" t="s">
        <v>21</v>
      </c>
      <c r="H179" t="s">
        <v>253</v>
      </c>
      <c r="I179" t="s">
        <v>23</v>
      </c>
      <c r="J179" t="s">
        <v>24</v>
      </c>
      <c r="K179" s="1" t="s">
        <v>383</v>
      </c>
      <c r="L179" t="s">
        <v>26</v>
      </c>
      <c r="M179">
        <v>25534</v>
      </c>
      <c r="N179">
        <v>-1</v>
      </c>
      <c r="O179" s="2">
        <v>-59990</v>
      </c>
      <c r="P179" s="2">
        <v>31343</v>
      </c>
      <c r="Q179" s="4">
        <f t="shared" si="7"/>
        <v>-50411.764705882357</v>
      </c>
      <c r="R179" s="4">
        <f t="shared" si="8"/>
        <v>-31343</v>
      </c>
      <c r="S179" s="4">
        <f t="shared" si="9"/>
        <v>-19068.764705882357</v>
      </c>
    </row>
    <row r="180" spans="1:19" x14ac:dyDescent="0.3">
      <c r="A180">
        <v>300</v>
      </c>
      <c r="B180" t="s">
        <v>16</v>
      </c>
      <c r="C180" t="s">
        <v>604</v>
      </c>
      <c r="D180" s="1" t="s">
        <v>605</v>
      </c>
      <c r="E180" t="s">
        <v>606</v>
      </c>
      <c r="F180" t="s">
        <v>20</v>
      </c>
      <c r="G180" t="s">
        <v>21</v>
      </c>
      <c r="H180" t="s">
        <v>607</v>
      </c>
      <c r="I180" t="s">
        <v>23</v>
      </c>
      <c r="J180" t="s">
        <v>24</v>
      </c>
      <c r="K180" s="1" t="s">
        <v>383</v>
      </c>
      <c r="L180" t="s">
        <v>26</v>
      </c>
      <c r="M180">
        <v>25535</v>
      </c>
      <c r="N180">
        <v>-1</v>
      </c>
      <c r="O180" s="2">
        <v>-54990</v>
      </c>
      <c r="P180" s="2">
        <v>35351</v>
      </c>
      <c r="Q180" s="4">
        <f t="shared" si="7"/>
        <v>-46210.08403361345</v>
      </c>
      <c r="R180" s="4">
        <f t="shared" si="8"/>
        <v>-35351</v>
      </c>
      <c r="S180" s="4">
        <f t="shared" si="9"/>
        <v>-10859.08403361345</v>
      </c>
    </row>
    <row r="181" spans="1:19" x14ac:dyDescent="0.3">
      <c r="A181">
        <v>300</v>
      </c>
      <c r="B181" t="s">
        <v>16</v>
      </c>
      <c r="C181" t="s">
        <v>608</v>
      </c>
      <c r="D181" s="1" t="s">
        <v>609</v>
      </c>
      <c r="E181" t="s">
        <v>610</v>
      </c>
      <c r="F181" t="s">
        <v>20</v>
      </c>
      <c r="G181" t="s">
        <v>21</v>
      </c>
      <c r="H181" t="s">
        <v>611</v>
      </c>
      <c r="I181" t="s">
        <v>23</v>
      </c>
      <c r="J181" t="s">
        <v>31</v>
      </c>
      <c r="K181" s="1" t="s">
        <v>383</v>
      </c>
      <c r="L181" t="s">
        <v>26</v>
      </c>
      <c r="M181">
        <v>25536</v>
      </c>
      <c r="N181">
        <v>-1</v>
      </c>
      <c r="O181" s="2">
        <v>-24990</v>
      </c>
      <c r="P181" s="2">
        <v>25298</v>
      </c>
      <c r="Q181" s="4">
        <f t="shared" si="7"/>
        <v>-21000</v>
      </c>
      <c r="R181" s="4">
        <f t="shared" si="8"/>
        <v>-25298</v>
      </c>
      <c r="S181" s="4">
        <f t="shared" si="9"/>
        <v>4298</v>
      </c>
    </row>
    <row r="182" spans="1:19" x14ac:dyDescent="0.3">
      <c r="A182">
        <v>300</v>
      </c>
      <c r="B182" t="s">
        <v>16</v>
      </c>
      <c r="C182" t="s">
        <v>612</v>
      </c>
      <c r="D182" s="1" t="s">
        <v>613</v>
      </c>
      <c r="E182" t="s">
        <v>614</v>
      </c>
      <c r="F182" t="s">
        <v>20</v>
      </c>
      <c r="G182" t="s">
        <v>21</v>
      </c>
      <c r="H182" t="s">
        <v>615</v>
      </c>
      <c r="I182" t="s">
        <v>23</v>
      </c>
      <c r="J182" t="s">
        <v>65</v>
      </c>
      <c r="K182" s="1" t="s">
        <v>383</v>
      </c>
      <c r="L182" t="s">
        <v>26</v>
      </c>
      <c r="M182">
        <v>25537</v>
      </c>
      <c r="N182">
        <v>-1</v>
      </c>
      <c r="O182" s="2">
        <v>-37990</v>
      </c>
      <c r="P182" s="2">
        <v>20415</v>
      </c>
      <c r="Q182" s="4">
        <f t="shared" si="7"/>
        <v>-31924.36974789916</v>
      </c>
      <c r="R182" s="4">
        <f t="shared" si="8"/>
        <v>-20415</v>
      </c>
      <c r="S182" s="4">
        <f t="shared" si="9"/>
        <v>-11509.36974789916</v>
      </c>
    </row>
    <row r="183" spans="1:19" x14ac:dyDescent="0.3">
      <c r="A183">
        <v>300</v>
      </c>
      <c r="B183" t="s">
        <v>16</v>
      </c>
      <c r="C183" t="s">
        <v>616</v>
      </c>
      <c r="D183" s="1" t="s">
        <v>617</v>
      </c>
      <c r="E183" t="s">
        <v>618</v>
      </c>
      <c r="F183" t="s">
        <v>20</v>
      </c>
      <c r="G183" t="s">
        <v>21</v>
      </c>
      <c r="H183" t="s">
        <v>39</v>
      </c>
      <c r="I183" t="s">
        <v>23</v>
      </c>
      <c r="J183" t="s">
        <v>31</v>
      </c>
      <c r="K183" s="1" t="s">
        <v>383</v>
      </c>
      <c r="L183" t="s">
        <v>26</v>
      </c>
      <c r="M183">
        <v>25538</v>
      </c>
      <c r="N183">
        <v>-1</v>
      </c>
      <c r="O183" s="2">
        <v>-74950</v>
      </c>
      <c r="P183" s="2">
        <v>27728</v>
      </c>
      <c r="Q183" s="4">
        <f t="shared" si="7"/>
        <v>-62983.193277310929</v>
      </c>
      <c r="R183" s="4">
        <f t="shared" si="8"/>
        <v>-27728</v>
      </c>
      <c r="S183" s="4">
        <f t="shared" si="9"/>
        <v>-35255.193277310929</v>
      </c>
    </row>
    <row r="184" spans="1:19" x14ac:dyDescent="0.3">
      <c r="A184">
        <v>300</v>
      </c>
      <c r="B184" t="s">
        <v>16</v>
      </c>
      <c r="C184" t="s">
        <v>619</v>
      </c>
      <c r="D184" s="1" t="s">
        <v>620</v>
      </c>
      <c r="E184" t="s">
        <v>621</v>
      </c>
      <c r="F184" t="s">
        <v>20</v>
      </c>
      <c r="G184" t="s">
        <v>21</v>
      </c>
      <c r="H184" t="s">
        <v>305</v>
      </c>
      <c r="I184" t="s">
        <v>23</v>
      </c>
      <c r="J184" t="s">
        <v>31</v>
      </c>
      <c r="K184" s="1" t="s">
        <v>383</v>
      </c>
      <c r="L184" t="s">
        <v>26</v>
      </c>
      <c r="M184">
        <v>25539</v>
      </c>
      <c r="N184">
        <v>-1</v>
      </c>
      <c r="O184" s="2">
        <v>-59990</v>
      </c>
      <c r="P184" s="2">
        <v>25441</v>
      </c>
      <c r="Q184" s="4">
        <f t="shared" si="7"/>
        <v>-50411.764705882357</v>
      </c>
      <c r="R184" s="4">
        <f t="shared" si="8"/>
        <v>-25441</v>
      </c>
      <c r="S184" s="4">
        <f t="shared" si="9"/>
        <v>-24970.764705882357</v>
      </c>
    </row>
    <row r="185" spans="1:19" x14ac:dyDescent="0.3">
      <c r="A185">
        <v>300</v>
      </c>
      <c r="B185" t="s">
        <v>16</v>
      </c>
      <c r="C185" t="s">
        <v>622</v>
      </c>
      <c r="D185" s="1" t="s">
        <v>623</v>
      </c>
      <c r="E185" t="s">
        <v>624</v>
      </c>
      <c r="F185" t="s">
        <v>20</v>
      </c>
      <c r="G185" t="s">
        <v>21</v>
      </c>
      <c r="H185" t="s">
        <v>282</v>
      </c>
      <c r="I185" t="s">
        <v>23</v>
      </c>
      <c r="J185" t="s">
        <v>31</v>
      </c>
      <c r="K185" s="1" t="s">
        <v>383</v>
      </c>
      <c r="L185" t="s">
        <v>26</v>
      </c>
      <c r="M185">
        <v>25540</v>
      </c>
      <c r="N185">
        <v>-1</v>
      </c>
      <c r="O185" s="2">
        <v>-49990</v>
      </c>
      <c r="P185" s="2">
        <v>30641</v>
      </c>
      <c r="Q185" s="4">
        <f t="shared" si="7"/>
        <v>-42008.403361344543</v>
      </c>
      <c r="R185" s="4">
        <f t="shared" si="8"/>
        <v>-30641</v>
      </c>
      <c r="S185" s="4">
        <f t="shared" si="9"/>
        <v>-11367.403361344543</v>
      </c>
    </row>
    <row r="186" spans="1:19" x14ac:dyDescent="0.3">
      <c r="A186">
        <v>300</v>
      </c>
      <c r="B186" t="s">
        <v>16</v>
      </c>
      <c r="C186" t="s">
        <v>625</v>
      </c>
      <c r="D186" s="1" t="s">
        <v>626</v>
      </c>
      <c r="E186" t="s">
        <v>627</v>
      </c>
      <c r="F186" t="s">
        <v>20</v>
      </c>
      <c r="G186" t="s">
        <v>21</v>
      </c>
      <c r="H186" t="s">
        <v>357</v>
      </c>
      <c r="I186" t="s">
        <v>23</v>
      </c>
      <c r="J186" t="s">
        <v>65</v>
      </c>
      <c r="K186" s="1" t="s">
        <v>383</v>
      </c>
      <c r="L186" t="s">
        <v>26</v>
      </c>
      <c r="M186">
        <v>25541</v>
      </c>
      <c r="N186">
        <v>-1</v>
      </c>
      <c r="O186" s="2">
        <v>-41990</v>
      </c>
      <c r="P186" s="2">
        <v>16817</v>
      </c>
      <c r="Q186" s="4">
        <f t="shared" si="7"/>
        <v>-35285.71428571429</v>
      </c>
      <c r="R186" s="4">
        <f t="shared" si="8"/>
        <v>-16817</v>
      </c>
      <c r="S186" s="4">
        <f t="shared" si="9"/>
        <v>-18468.71428571429</v>
      </c>
    </row>
    <row r="187" spans="1:19" x14ac:dyDescent="0.3">
      <c r="A187">
        <v>300</v>
      </c>
      <c r="B187" t="s">
        <v>16</v>
      </c>
      <c r="C187" t="s">
        <v>628</v>
      </c>
      <c r="D187" s="1" t="s">
        <v>629</v>
      </c>
      <c r="E187" t="s">
        <v>630</v>
      </c>
      <c r="F187" t="s">
        <v>20</v>
      </c>
      <c r="G187" t="s">
        <v>21</v>
      </c>
      <c r="H187" t="s">
        <v>631</v>
      </c>
      <c r="I187" t="s">
        <v>23</v>
      </c>
      <c r="J187" t="s">
        <v>24</v>
      </c>
      <c r="K187" s="1" t="s">
        <v>383</v>
      </c>
      <c r="L187" t="s">
        <v>26</v>
      </c>
      <c r="M187">
        <v>25542</v>
      </c>
      <c r="N187">
        <v>-1</v>
      </c>
      <c r="O187" s="2">
        <v>-52990</v>
      </c>
      <c r="P187" s="2">
        <v>41706</v>
      </c>
      <c r="Q187" s="4">
        <f t="shared" si="7"/>
        <v>-44529.411764705881</v>
      </c>
      <c r="R187" s="4">
        <f t="shared" si="8"/>
        <v>-41706</v>
      </c>
      <c r="S187" s="4">
        <f t="shared" si="9"/>
        <v>-2823.4117647058811</v>
      </c>
    </row>
    <row r="188" spans="1:19" x14ac:dyDescent="0.3">
      <c r="A188">
        <v>300</v>
      </c>
      <c r="B188" t="s">
        <v>16</v>
      </c>
      <c r="C188" t="s">
        <v>632</v>
      </c>
      <c r="D188" s="1" t="s">
        <v>633</v>
      </c>
      <c r="E188" t="s">
        <v>634</v>
      </c>
      <c r="F188" t="s">
        <v>20</v>
      </c>
      <c r="G188" t="s">
        <v>110</v>
      </c>
      <c r="H188">
        <v>28204</v>
      </c>
      <c r="I188" t="s">
        <v>23</v>
      </c>
      <c r="J188" t="s">
        <v>31</v>
      </c>
      <c r="K188" s="1" t="s">
        <v>383</v>
      </c>
      <c r="L188" t="s">
        <v>26</v>
      </c>
      <c r="M188">
        <v>25543</v>
      </c>
      <c r="N188">
        <v>-1</v>
      </c>
      <c r="O188" s="2">
        <v>-44990</v>
      </c>
      <c r="P188" s="2">
        <v>20434</v>
      </c>
      <c r="Q188" s="4">
        <f t="shared" si="7"/>
        <v>-37806.722689075636</v>
      </c>
      <c r="R188" s="4">
        <f t="shared" si="8"/>
        <v>-20434</v>
      </c>
      <c r="S188" s="4">
        <f t="shared" si="9"/>
        <v>-17372.722689075636</v>
      </c>
    </row>
    <row r="189" spans="1:19" x14ac:dyDescent="0.3">
      <c r="A189">
        <v>300</v>
      </c>
      <c r="B189" t="s">
        <v>16</v>
      </c>
      <c r="C189" t="s">
        <v>635</v>
      </c>
      <c r="D189" s="1" t="s">
        <v>636</v>
      </c>
      <c r="E189" t="s">
        <v>637</v>
      </c>
      <c r="F189" t="s">
        <v>20</v>
      </c>
      <c r="G189" t="s">
        <v>110</v>
      </c>
      <c r="H189">
        <v>23746</v>
      </c>
      <c r="I189" t="s">
        <v>23</v>
      </c>
      <c r="J189" t="s">
        <v>65</v>
      </c>
      <c r="K189" s="1" t="s">
        <v>383</v>
      </c>
      <c r="L189" t="s">
        <v>26</v>
      </c>
      <c r="M189">
        <v>25544</v>
      </c>
      <c r="N189">
        <v>-1</v>
      </c>
      <c r="O189" s="2">
        <v>-79950</v>
      </c>
      <c r="P189" s="2">
        <v>27470</v>
      </c>
      <c r="Q189" s="4">
        <f t="shared" si="7"/>
        <v>-67184.873949579836</v>
      </c>
      <c r="R189" s="4">
        <f t="shared" si="8"/>
        <v>-27470</v>
      </c>
      <c r="S189" s="4">
        <f t="shared" si="9"/>
        <v>-39714.873949579836</v>
      </c>
    </row>
    <row r="190" spans="1:19" x14ac:dyDescent="0.3">
      <c r="A190">
        <v>300</v>
      </c>
      <c r="B190" t="s">
        <v>16</v>
      </c>
      <c r="C190" t="s">
        <v>638</v>
      </c>
      <c r="D190" s="1" t="s">
        <v>639</v>
      </c>
      <c r="E190" t="s">
        <v>640</v>
      </c>
      <c r="F190" t="s">
        <v>20</v>
      </c>
      <c r="G190" t="s">
        <v>21</v>
      </c>
      <c r="H190" t="s">
        <v>641</v>
      </c>
      <c r="I190" t="s">
        <v>23</v>
      </c>
      <c r="J190" t="s">
        <v>31</v>
      </c>
      <c r="K190" s="1" t="s">
        <v>383</v>
      </c>
      <c r="L190" t="s">
        <v>26</v>
      </c>
      <c r="M190">
        <v>25545</v>
      </c>
      <c r="N190">
        <v>-1</v>
      </c>
      <c r="O190" s="2">
        <v>-55990</v>
      </c>
      <c r="P190" s="2">
        <v>31212</v>
      </c>
      <c r="Q190" s="4">
        <f t="shared" si="7"/>
        <v>-47050.420168067227</v>
      </c>
      <c r="R190" s="4">
        <f t="shared" si="8"/>
        <v>-31212</v>
      </c>
      <c r="S190" s="4">
        <f t="shared" si="9"/>
        <v>-15838.420168067227</v>
      </c>
    </row>
    <row r="191" spans="1:19" x14ac:dyDescent="0.3">
      <c r="A191">
        <v>300</v>
      </c>
      <c r="B191" t="s">
        <v>16</v>
      </c>
      <c r="C191" t="s">
        <v>642</v>
      </c>
      <c r="D191" s="1" t="s">
        <v>643</v>
      </c>
      <c r="E191" t="s">
        <v>644</v>
      </c>
      <c r="F191" t="s">
        <v>20</v>
      </c>
      <c r="G191" t="s">
        <v>21</v>
      </c>
      <c r="H191" t="s">
        <v>22</v>
      </c>
      <c r="I191" t="s">
        <v>23</v>
      </c>
      <c r="J191" t="s">
        <v>24</v>
      </c>
      <c r="K191" s="1" t="s">
        <v>383</v>
      </c>
      <c r="L191" t="s">
        <v>26</v>
      </c>
      <c r="M191">
        <v>25546</v>
      </c>
      <c r="N191">
        <v>-1</v>
      </c>
      <c r="O191" s="2">
        <v>-49990</v>
      </c>
      <c r="P191" s="2">
        <v>31905</v>
      </c>
      <c r="Q191" s="4">
        <f t="shared" si="7"/>
        <v>-42008.403361344543</v>
      </c>
      <c r="R191" s="4">
        <f t="shared" si="8"/>
        <v>-31905</v>
      </c>
      <c r="S191" s="4">
        <f t="shared" si="9"/>
        <v>-10103.403361344543</v>
      </c>
    </row>
    <row r="192" spans="1:19" x14ac:dyDescent="0.3">
      <c r="A192">
        <v>300</v>
      </c>
      <c r="B192" t="s">
        <v>16</v>
      </c>
      <c r="C192" t="s">
        <v>645</v>
      </c>
      <c r="D192" s="1" t="s">
        <v>646</v>
      </c>
      <c r="E192" t="s">
        <v>647</v>
      </c>
      <c r="F192" t="s">
        <v>20</v>
      </c>
      <c r="G192" t="s">
        <v>21</v>
      </c>
      <c r="H192" t="s">
        <v>607</v>
      </c>
      <c r="I192" t="s">
        <v>23</v>
      </c>
      <c r="J192" t="s">
        <v>24</v>
      </c>
      <c r="K192" s="1" t="s">
        <v>383</v>
      </c>
      <c r="L192" t="s">
        <v>26</v>
      </c>
      <c r="M192">
        <v>25547</v>
      </c>
      <c r="N192">
        <v>-1</v>
      </c>
      <c r="O192" s="2">
        <v>-49990</v>
      </c>
      <c r="P192" s="2">
        <v>30867</v>
      </c>
      <c r="Q192" s="4">
        <f t="shared" si="7"/>
        <v>-42008.403361344543</v>
      </c>
      <c r="R192" s="4">
        <f t="shared" si="8"/>
        <v>-30867</v>
      </c>
      <c r="S192" s="4">
        <f t="shared" si="9"/>
        <v>-11141.403361344543</v>
      </c>
    </row>
    <row r="193" spans="1:19" x14ac:dyDescent="0.3">
      <c r="A193">
        <v>300</v>
      </c>
      <c r="B193" t="s">
        <v>16</v>
      </c>
      <c r="C193" t="s">
        <v>648</v>
      </c>
      <c r="D193" s="1" t="s">
        <v>649</v>
      </c>
      <c r="E193" t="s">
        <v>650</v>
      </c>
      <c r="F193" t="s">
        <v>20</v>
      </c>
      <c r="G193" t="s">
        <v>21</v>
      </c>
      <c r="H193" t="s">
        <v>43</v>
      </c>
      <c r="I193" t="s">
        <v>23</v>
      </c>
      <c r="J193" t="s">
        <v>44</v>
      </c>
      <c r="K193" s="1" t="s">
        <v>383</v>
      </c>
      <c r="L193" t="s">
        <v>26</v>
      </c>
      <c r="M193">
        <v>25548</v>
      </c>
      <c r="N193">
        <v>-1</v>
      </c>
      <c r="O193" s="2">
        <v>-34990</v>
      </c>
      <c r="P193" s="2">
        <v>20502</v>
      </c>
      <c r="Q193" s="4">
        <f t="shared" si="7"/>
        <v>-29403.361344537818</v>
      </c>
      <c r="R193" s="4">
        <f t="shared" si="8"/>
        <v>-20502</v>
      </c>
      <c r="S193" s="4">
        <f t="shared" si="9"/>
        <v>-8901.3613445378178</v>
      </c>
    </row>
    <row r="194" spans="1:19" x14ac:dyDescent="0.3">
      <c r="A194">
        <v>300</v>
      </c>
      <c r="B194" t="s">
        <v>16</v>
      </c>
      <c r="C194" t="s">
        <v>651</v>
      </c>
      <c r="D194" s="1" t="s">
        <v>652</v>
      </c>
      <c r="E194" t="s">
        <v>653</v>
      </c>
      <c r="F194" t="s">
        <v>20</v>
      </c>
      <c r="G194" t="s">
        <v>21</v>
      </c>
      <c r="H194" t="s">
        <v>293</v>
      </c>
      <c r="I194" t="s">
        <v>23</v>
      </c>
      <c r="J194" t="s">
        <v>294</v>
      </c>
      <c r="K194" s="1" t="s">
        <v>383</v>
      </c>
      <c r="L194" t="s">
        <v>26</v>
      </c>
      <c r="M194">
        <v>25549</v>
      </c>
      <c r="N194">
        <v>-1</v>
      </c>
      <c r="O194" s="2">
        <v>-29990</v>
      </c>
      <c r="P194" s="2">
        <v>22782</v>
      </c>
      <c r="Q194" s="4">
        <f t="shared" si="7"/>
        <v>-25201.680672268907</v>
      </c>
      <c r="R194" s="4">
        <f t="shared" si="8"/>
        <v>-22782</v>
      </c>
      <c r="S194" s="4">
        <f t="shared" si="9"/>
        <v>-2419.6806722689071</v>
      </c>
    </row>
    <row r="195" spans="1:19" x14ac:dyDescent="0.3">
      <c r="A195">
        <v>300</v>
      </c>
      <c r="B195" t="s">
        <v>16</v>
      </c>
      <c r="C195" t="s">
        <v>654</v>
      </c>
      <c r="D195" s="1" t="s">
        <v>655</v>
      </c>
      <c r="E195" t="s">
        <v>656</v>
      </c>
      <c r="F195" t="s">
        <v>20</v>
      </c>
      <c r="G195" t="s">
        <v>21</v>
      </c>
      <c r="H195" t="s">
        <v>85</v>
      </c>
      <c r="I195" t="s">
        <v>23</v>
      </c>
      <c r="J195" t="s">
        <v>44</v>
      </c>
      <c r="K195" s="1" t="s">
        <v>383</v>
      </c>
      <c r="L195" t="s">
        <v>26</v>
      </c>
      <c r="M195">
        <v>25550</v>
      </c>
      <c r="N195">
        <v>-1</v>
      </c>
      <c r="O195" s="2">
        <v>-48990</v>
      </c>
      <c r="P195" s="2">
        <v>25521</v>
      </c>
      <c r="Q195" s="4">
        <f t="shared" si="7"/>
        <v>-41168.067226890758</v>
      </c>
      <c r="R195" s="4">
        <f t="shared" si="8"/>
        <v>-25521</v>
      </c>
      <c r="S195" s="4">
        <f t="shared" si="9"/>
        <v>-15647.067226890758</v>
      </c>
    </row>
    <row r="196" spans="1:19" x14ac:dyDescent="0.3">
      <c r="A196">
        <v>300</v>
      </c>
      <c r="B196" t="s">
        <v>16</v>
      </c>
      <c r="C196" t="s">
        <v>657</v>
      </c>
      <c r="D196" s="1" t="s">
        <v>658</v>
      </c>
      <c r="E196" t="s">
        <v>659</v>
      </c>
      <c r="F196" t="s">
        <v>20</v>
      </c>
      <c r="G196" t="s">
        <v>21</v>
      </c>
      <c r="H196" t="s">
        <v>660</v>
      </c>
      <c r="I196" t="s">
        <v>23</v>
      </c>
      <c r="J196" t="s">
        <v>65</v>
      </c>
      <c r="K196" s="1" t="s">
        <v>383</v>
      </c>
      <c r="L196" t="s">
        <v>26</v>
      </c>
      <c r="M196">
        <v>25551</v>
      </c>
      <c r="N196">
        <v>-1</v>
      </c>
      <c r="O196" s="2">
        <v>-39990</v>
      </c>
      <c r="P196" s="2">
        <v>27224</v>
      </c>
      <c r="Q196" s="4">
        <f t="shared" si="7"/>
        <v>-33605.042016806721</v>
      </c>
      <c r="R196" s="4">
        <f t="shared" si="8"/>
        <v>-27224</v>
      </c>
      <c r="S196" s="4">
        <f t="shared" si="9"/>
        <v>-6381.0420168067212</v>
      </c>
    </row>
    <row r="197" spans="1:19" x14ac:dyDescent="0.3">
      <c r="A197">
        <v>300</v>
      </c>
      <c r="B197" t="s">
        <v>16</v>
      </c>
      <c r="C197" t="s">
        <v>661</v>
      </c>
      <c r="D197" s="1" t="s">
        <v>662</v>
      </c>
      <c r="E197" t="s">
        <v>84</v>
      </c>
      <c r="F197" t="s">
        <v>20</v>
      </c>
      <c r="G197" t="s">
        <v>21</v>
      </c>
      <c r="H197" t="s">
        <v>85</v>
      </c>
      <c r="I197" t="s">
        <v>23</v>
      </c>
      <c r="J197" t="s">
        <v>44</v>
      </c>
      <c r="K197" s="1" t="s">
        <v>383</v>
      </c>
      <c r="L197" t="s">
        <v>26</v>
      </c>
      <c r="M197">
        <v>25552</v>
      </c>
      <c r="N197">
        <v>-1</v>
      </c>
      <c r="O197" s="2">
        <v>-34990</v>
      </c>
      <c r="P197" s="2">
        <v>26018</v>
      </c>
      <c r="Q197" s="4">
        <f t="shared" ref="Q197:Q260" si="10">O197/1.19</f>
        <v>-29403.361344537818</v>
      </c>
      <c r="R197" s="4">
        <f t="shared" ref="R197:R260" si="11">N197*P197</f>
        <v>-26018</v>
      </c>
      <c r="S197" s="4">
        <f t="shared" ref="S197:S260" si="12">Q197-R197</f>
        <v>-3385.3613445378178</v>
      </c>
    </row>
    <row r="198" spans="1:19" x14ac:dyDescent="0.3">
      <c r="A198">
        <v>300</v>
      </c>
      <c r="B198" t="s">
        <v>16</v>
      </c>
      <c r="C198" t="s">
        <v>663</v>
      </c>
      <c r="D198" s="1" t="s">
        <v>664</v>
      </c>
      <c r="E198" t="s">
        <v>665</v>
      </c>
      <c r="F198" t="s">
        <v>20</v>
      </c>
      <c r="G198" t="s">
        <v>21</v>
      </c>
      <c r="H198" t="s">
        <v>243</v>
      </c>
      <c r="I198" t="s">
        <v>23</v>
      </c>
      <c r="J198" t="s">
        <v>65</v>
      </c>
      <c r="K198" s="1" t="s">
        <v>383</v>
      </c>
      <c r="L198" t="s">
        <v>26</v>
      </c>
      <c r="M198">
        <v>25553</v>
      </c>
      <c r="N198">
        <v>-1</v>
      </c>
      <c r="O198" s="2">
        <v>-34990</v>
      </c>
      <c r="P198" s="2">
        <v>21030</v>
      </c>
      <c r="Q198" s="4">
        <f t="shared" si="10"/>
        <v>-29403.361344537818</v>
      </c>
      <c r="R198" s="4">
        <f t="shared" si="11"/>
        <v>-21030</v>
      </c>
      <c r="S198" s="4">
        <f t="shared" si="12"/>
        <v>-8373.3613445378178</v>
      </c>
    </row>
    <row r="199" spans="1:19" x14ac:dyDescent="0.3">
      <c r="A199">
        <v>300</v>
      </c>
      <c r="B199" t="s">
        <v>16</v>
      </c>
      <c r="C199" t="s">
        <v>666</v>
      </c>
      <c r="D199" s="1" t="s">
        <v>667</v>
      </c>
      <c r="E199" t="s">
        <v>668</v>
      </c>
      <c r="F199" t="s">
        <v>20</v>
      </c>
      <c r="G199" t="s">
        <v>21</v>
      </c>
      <c r="H199" t="s">
        <v>80</v>
      </c>
      <c r="I199" t="s">
        <v>23</v>
      </c>
      <c r="J199" t="s">
        <v>65</v>
      </c>
      <c r="K199" s="1" t="s">
        <v>383</v>
      </c>
      <c r="L199" t="s">
        <v>26</v>
      </c>
      <c r="M199">
        <v>25554</v>
      </c>
      <c r="N199">
        <v>-1</v>
      </c>
      <c r="O199" s="2">
        <v>-39990</v>
      </c>
      <c r="P199" s="2">
        <v>31785</v>
      </c>
      <c r="Q199" s="4">
        <f t="shared" si="10"/>
        <v>-33605.042016806721</v>
      </c>
      <c r="R199" s="4">
        <f t="shared" si="11"/>
        <v>-31785</v>
      </c>
      <c r="S199" s="4">
        <f t="shared" si="12"/>
        <v>-1820.0420168067212</v>
      </c>
    </row>
    <row r="200" spans="1:19" x14ac:dyDescent="0.3">
      <c r="A200">
        <v>300</v>
      </c>
      <c r="B200" t="s">
        <v>16</v>
      </c>
      <c r="C200" t="s">
        <v>669</v>
      </c>
      <c r="D200" s="1" t="s">
        <v>670</v>
      </c>
      <c r="E200" t="s">
        <v>671</v>
      </c>
      <c r="F200" t="s">
        <v>20</v>
      </c>
      <c r="G200" t="s">
        <v>21</v>
      </c>
      <c r="H200" t="s">
        <v>85</v>
      </c>
      <c r="I200" t="s">
        <v>23</v>
      </c>
      <c r="J200" t="s">
        <v>44</v>
      </c>
      <c r="K200" s="1" t="s">
        <v>383</v>
      </c>
      <c r="L200" t="s">
        <v>26</v>
      </c>
      <c r="M200">
        <v>25555</v>
      </c>
      <c r="N200">
        <v>-1</v>
      </c>
      <c r="O200" s="2">
        <v>-48990</v>
      </c>
      <c r="P200" s="2">
        <v>31000</v>
      </c>
      <c r="Q200" s="4">
        <f t="shared" si="10"/>
        <v>-41168.067226890758</v>
      </c>
      <c r="R200" s="4">
        <f t="shared" si="11"/>
        <v>-31000</v>
      </c>
      <c r="S200" s="4">
        <f t="shared" si="12"/>
        <v>-10168.067226890758</v>
      </c>
    </row>
    <row r="201" spans="1:19" x14ac:dyDescent="0.3">
      <c r="A201">
        <v>300</v>
      </c>
      <c r="B201" t="s">
        <v>16</v>
      </c>
      <c r="C201" t="s">
        <v>672</v>
      </c>
      <c r="D201" s="1" t="s">
        <v>673</v>
      </c>
      <c r="E201" t="s">
        <v>435</v>
      </c>
      <c r="F201" t="s">
        <v>20</v>
      </c>
      <c r="G201" t="s">
        <v>21</v>
      </c>
      <c r="H201" t="s">
        <v>336</v>
      </c>
      <c r="I201" t="s">
        <v>23</v>
      </c>
      <c r="J201" t="s">
        <v>44</v>
      </c>
      <c r="K201" s="1" t="s">
        <v>383</v>
      </c>
      <c r="L201" t="s">
        <v>26</v>
      </c>
      <c r="M201">
        <v>25556</v>
      </c>
      <c r="N201">
        <v>-1</v>
      </c>
      <c r="O201" s="2">
        <v>-34990</v>
      </c>
      <c r="P201" s="2">
        <v>19584</v>
      </c>
      <c r="Q201" s="4">
        <f t="shared" si="10"/>
        <v>-29403.361344537818</v>
      </c>
      <c r="R201" s="4">
        <f t="shared" si="11"/>
        <v>-19584</v>
      </c>
      <c r="S201" s="4">
        <f t="shared" si="12"/>
        <v>-9819.3613445378178</v>
      </c>
    </row>
    <row r="202" spans="1:19" x14ac:dyDescent="0.3">
      <c r="A202">
        <v>300</v>
      </c>
      <c r="B202" t="s">
        <v>16</v>
      </c>
      <c r="C202" t="s">
        <v>82</v>
      </c>
      <c r="D202" s="1" t="s">
        <v>83</v>
      </c>
      <c r="E202" t="s">
        <v>84</v>
      </c>
      <c r="F202" t="s">
        <v>20</v>
      </c>
      <c r="G202" t="s">
        <v>21</v>
      </c>
      <c r="H202" t="s">
        <v>85</v>
      </c>
      <c r="I202" t="s">
        <v>23</v>
      </c>
      <c r="J202" t="s">
        <v>44</v>
      </c>
      <c r="K202" s="1" t="s">
        <v>383</v>
      </c>
      <c r="L202" t="s">
        <v>26</v>
      </c>
      <c r="M202">
        <v>25557</v>
      </c>
      <c r="N202">
        <v>-1</v>
      </c>
      <c r="O202" s="2">
        <v>-34990</v>
      </c>
      <c r="P202" s="2">
        <v>25747</v>
      </c>
      <c r="Q202" s="4">
        <f t="shared" si="10"/>
        <v>-29403.361344537818</v>
      </c>
      <c r="R202" s="4">
        <f t="shared" si="11"/>
        <v>-25747</v>
      </c>
      <c r="S202" s="4">
        <f t="shared" si="12"/>
        <v>-3656.3613445378178</v>
      </c>
    </row>
    <row r="203" spans="1:19" x14ac:dyDescent="0.3">
      <c r="A203">
        <v>300</v>
      </c>
      <c r="B203" t="s">
        <v>16</v>
      </c>
      <c r="C203" t="s">
        <v>674</v>
      </c>
      <c r="D203" s="1" t="s">
        <v>675</v>
      </c>
      <c r="E203" t="s">
        <v>676</v>
      </c>
      <c r="F203" t="s">
        <v>20</v>
      </c>
      <c r="G203" t="s">
        <v>21</v>
      </c>
      <c r="H203" t="s">
        <v>151</v>
      </c>
      <c r="I203" t="s">
        <v>23</v>
      </c>
      <c r="J203" t="s">
        <v>31</v>
      </c>
      <c r="K203" s="1" t="s">
        <v>383</v>
      </c>
      <c r="L203" t="s">
        <v>26</v>
      </c>
      <c r="M203">
        <v>25558</v>
      </c>
      <c r="N203">
        <v>-1</v>
      </c>
      <c r="O203" s="2">
        <v>-48990</v>
      </c>
      <c r="P203" s="2">
        <v>26503</v>
      </c>
      <c r="Q203" s="4">
        <f t="shared" si="10"/>
        <v>-41168.067226890758</v>
      </c>
      <c r="R203" s="4">
        <f t="shared" si="11"/>
        <v>-26503</v>
      </c>
      <c r="S203" s="4">
        <f t="shared" si="12"/>
        <v>-14665.067226890758</v>
      </c>
    </row>
    <row r="204" spans="1:19" x14ac:dyDescent="0.3">
      <c r="A204">
        <v>300</v>
      </c>
      <c r="B204" t="s">
        <v>16</v>
      </c>
      <c r="C204" t="s">
        <v>677</v>
      </c>
      <c r="D204" s="1" t="s">
        <v>678</v>
      </c>
      <c r="E204" t="s">
        <v>485</v>
      </c>
      <c r="F204" t="s">
        <v>20</v>
      </c>
      <c r="G204" t="s">
        <v>21</v>
      </c>
      <c r="H204" t="s">
        <v>30</v>
      </c>
      <c r="I204" t="s">
        <v>23</v>
      </c>
      <c r="J204" t="s">
        <v>31</v>
      </c>
      <c r="K204" s="1" t="s">
        <v>383</v>
      </c>
      <c r="L204" t="s">
        <v>26</v>
      </c>
      <c r="M204">
        <v>25559</v>
      </c>
      <c r="N204">
        <v>-1</v>
      </c>
      <c r="O204" s="2">
        <v>-34990</v>
      </c>
      <c r="P204" s="2">
        <v>21505</v>
      </c>
      <c r="Q204" s="4">
        <f t="shared" si="10"/>
        <v>-29403.361344537818</v>
      </c>
      <c r="R204" s="4">
        <f t="shared" si="11"/>
        <v>-21505</v>
      </c>
      <c r="S204" s="4">
        <f t="shared" si="12"/>
        <v>-7898.3613445378178</v>
      </c>
    </row>
    <row r="205" spans="1:19" x14ac:dyDescent="0.3">
      <c r="A205">
        <v>300</v>
      </c>
      <c r="B205" t="s">
        <v>16</v>
      </c>
      <c r="C205" t="s">
        <v>679</v>
      </c>
      <c r="D205" s="1" t="s">
        <v>680</v>
      </c>
      <c r="E205" t="s">
        <v>681</v>
      </c>
      <c r="F205" t="s">
        <v>20</v>
      </c>
      <c r="G205" t="s">
        <v>21</v>
      </c>
      <c r="H205" t="s">
        <v>682</v>
      </c>
      <c r="I205" t="s">
        <v>23</v>
      </c>
      <c r="J205" t="s">
        <v>65</v>
      </c>
      <c r="K205" s="1" t="s">
        <v>383</v>
      </c>
      <c r="L205" t="s">
        <v>26</v>
      </c>
      <c r="M205">
        <v>25560</v>
      </c>
      <c r="N205">
        <v>-1</v>
      </c>
      <c r="O205" s="2">
        <v>-29990</v>
      </c>
      <c r="P205" s="2">
        <v>20941</v>
      </c>
      <c r="Q205" s="4">
        <f t="shared" si="10"/>
        <v>-25201.680672268907</v>
      </c>
      <c r="R205" s="4">
        <f t="shared" si="11"/>
        <v>-20941</v>
      </c>
      <c r="S205" s="4">
        <f t="shared" si="12"/>
        <v>-4260.6806722689071</v>
      </c>
    </row>
    <row r="206" spans="1:19" x14ac:dyDescent="0.3">
      <c r="A206">
        <v>300</v>
      </c>
      <c r="B206" t="s">
        <v>16</v>
      </c>
      <c r="C206" t="s">
        <v>683</v>
      </c>
      <c r="D206" s="1" t="s">
        <v>684</v>
      </c>
      <c r="E206" t="s">
        <v>685</v>
      </c>
      <c r="F206" t="s">
        <v>20</v>
      </c>
      <c r="G206" t="s">
        <v>21</v>
      </c>
      <c r="H206" t="s">
        <v>282</v>
      </c>
      <c r="I206" t="s">
        <v>23</v>
      </c>
      <c r="J206" t="s">
        <v>31</v>
      </c>
      <c r="K206" s="1" t="s">
        <v>383</v>
      </c>
      <c r="L206" t="s">
        <v>26</v>
      </c>
      <c r="M206">
        <v>25561</v>
      </c>
      <c r="N206">
        <v>-1</v>
      </c>
      <c r="O206" s="2">
        <v>-44990</v>
      </c>
      <c r="P206" s="2">
        <v>20984</v>
      </c>
      <c r="Q206" s="4">
        <f t="shared" si="10"/>
        <v>-37806.722689075636</v>
      </c>
      <c r="R206" s="4">
        <f t="shared" si="11"/>
        <v>-20984</v>
      </c>
      <c r="S206" s="4">
        <f t="shared" si="12"/>
        <v>-16822.722689075636</v>
      </c>
    </row>
    <row r="207" spans="1:19" x14ac:dyDescent="0.3">
      <c r="A207">
        <v>300</v>
      </c>
      <c r="B207" t="s">
        <v>16</v>
      </c>
      <c r="C207" t="s">
        <v>686</v>
      </c>
      <c r="D207" s="1" t="s">
        <v>687</v>
      </c>
      <c r="E207" t="s">
        <v>688</v>
      </c>
      <c r="F207" t="s">
        <v>20</v>
      </c>
      <c r="G207" t="s">
        <v>21</v>
      </c>
      <c r="H207" t="s">
        <v>689</v>
      </c>
      <c r="I207" t="s">
        <v>23</v>
      </c>
      <c r="J207" t="s">
        <v>24</v>
      </c>
      <c r="K207" s="1" t="s">
        <v>383</v>
      </c>
      <c r="L207" t="s">
        <v>26</v>
      </c>
      <c r="M207">
        <v>25562</v>
      </c>
      <c r="N207">
        <v>-1</v>
      </c>
      <c r="O207" s="2">
        <v>-49990</v>
      </c>
      <c r="P207" s="2">
        <v>32376</v>
      </c>
      <c r="Q207" s="4">
        <f t="shared" si="10"/>
        <v>-42008.403361344543</v>
      </c>
      <c r="R207" s="4">
        <f t="shared" si="11"/>
        <v>-32376</v>
      </c>
      <c r="S207" s="4">
        <f t="shared" si="12"/>
        <v>-9632.4033613445426</v>
      </c>
    </row>
    <row r="208" spans="1:19" x14ac:dyDescent="0.3">
      <c r="A208">
        <v>300</v>
      </c>
      <c r="B208" t="s">
        <v>16</v>
      </c>
      <c r="C208" t="s">
        <v>152</v>
      </c>
      <c r="D208" s="1" t="s">
        <v>153</v>
      </c>
      <c r="E208" t="s">
        <v>154</v>
      </c>
      <c r="F208" t="s">
        <v>20</v>
      </c>
      <c r="G208" t="s">
        <v>21</v>
      </c>
      <c r="H208" t="s">
        <v>155</v>
      </c>
      <c r="I208" t="s">
        <v>23</v>
      </c>
      <c r="J208" t="s">
        <v>65</v>
      </c>
      <c r="K208" s="1" t="s">
        <v>383</v>
      </c>
      <c r="L208" t="s">
        <v>26</v>
      </c>
      <c r="M208">
        <v>25563</v>
      </c>
      <c r="N208">
        <v>-1</v>
      </c>
      <c r="O208" s="2">
        <v>-39990</v>
      </c>
      <c r="P208" s="2">
        <v>17194</v>
      </c>
      <c r="Q208" s="4">
        <f t="shared" si="10"/>
        <v>-33605.042016806721</v>
      </c>
      <c r="R208" s="4">
        <f t="shared" si="11"/>
        <v>-17194</v>
      </c>
      <c r="S208" s="4">
        <f t="shared" si="12"/>
        <v>-16411.042016806721</v>
      </c>
    </row>
    <row r="209" spans="1:19" x14ac:dyDescent="0.3">
      <c r="A209">
        <v>300</v>
      </c>
      <c r="B209" t="s">
        <v>16</v>
      </c>
      <c r="C209" t="s">
        <v>61</v>
      </c>
      <c r="D209" s="1" t="s">
        <v>62</v>
      </c>
      <c r="E209" t="s">
        <v>63</v>
      </c>
      <c r="F209" t="s">
        <v>20</v>
      </c>
      <c r="G209" t="s">
        <v>21</v>
      </c>
      <c r="H209" t="s">
        <v>64</v>
      </c>
      <c r="I209" t="s">
        <v>23</v>
      </c>
      <c r="J209" t="s">
        <v>65</v>
      </c>
      <c r="K209" s="1" t="s">
        <v>690</v>
      </c>
      <c r="L209" t="s">
        <v>26</v>
      </c>
      <c r="M209">
        <v>25564</v>
      </c>
      <c r="N209">
        <v>-1</v>
      </c>
      <c r="O209" s="2">
        <v>-34990</v>
      </c>
      <c r="P209" s="2">
        <v>14950</v>
      </c>
      <c r="Q209" s="4">
        <f t="shared" si="10"/>
        <v>-29403.361344537818</v>
      </c>
      <c r="R209" s="4">
        <f t="shared" si="11"/>
        <v>-14950</v>
      </c>
      <c r="S209" s="4">
        <f t="shared" si="12"/>
        <v>-14453.361344537818</v>
      </c>
    </row>
    <row r="210" spans="1:19" x14ac:dyDescent="0.3">
      <c r="A210">
        <v>300</v>
      </c>
      <c r="B210" t="s">
        <v>16</v>
      </c>
      <c r="C210" t="s">
        <v>691</v>
      </c>
      <c r="D210" s="1" t="s">
        <v>692</v>
      </c>
      <c r="E210" t="s">
        <v>693</v>
      </c>
      <c r="F210" t="s">
        <v>20</v>
      </c>
      <c r="G210" t="s">
        <v>21</v>
      </c>
      <c r="H210" t="s">
        <v>694</v>
      </c>
      <c r="I210" t="s">
        <v>23</v>
      </c>
      <c r="J210" t="s">
        <v>31</v>
      </c>
      <c r="K210" s="1" t="s">
        <v>690</v>
      </c>
      <c r="L210" t="s">
        <v>26</v>
      </c>
      <c r="M210">
        <v>25565</v>
      </c>
      <c r="N210">
        <v>-1</v>
      </c>
      <c r="O210" s="2">
        <v>-41990</v>
      </c>
      <c r="P210" s="2">
        <v>13709</v>
      </c>
      <c r="Q210" s="4">
        <f t="shared" si="10"/>
        <v>-35285.71428571429</v>
      </c>
      <c r="R210" s="4">
        <f t="shared" si="11"/>
        <v>-13709</v>
      </c>
      <c r="S210" s="4">
        <f t="shared" si="12"/>
        <v>-21576.71428571429</v>
      </c>
    </row>
    <row r="211" spans="1:19" x14ac:dyDescent="0.3">
      <c r="A211">
        <v>300</v>
      </c>
      <c r="B211" t="s">
        <v>16</v>
      </c>
      <c r="C211" t="s">
        <v>695</v>
      </c>
      <c r="D211" s="1" t="s">
        <v>696</v>
      </c>
      <c r="E211" t="s">
        <v>697</v>
      </c>
      <c r="F211" t="s">
        <v>20</v>
      </c>
      <c r="G211" t="s">
        <v>21</v>
      </c>
      <c r="H211" t="s">
        <v>39</v>
      </c>
      <c r="I211" t="s">
        <v>23</v>
      </c>
      <c r="J211" t="s">
        <v>31</v>
      </c>
      <c r="K211" s="1" t="s">
        <v>690</v>
      </c>
      <c r="L211" t="s">
        <v>26</v>
      </c>
      <c r="M211">
        <v>25566</v>
      </c>
      <c r="N211">
        <v>-1</v>
      </c>
      <c r="O211" s="2">
        <v>-51990</v>
      </c>
      <c r="P211" s="2">
        <v>24758</v>
      </c>
      <c r="Q211" s="4">
        <f t="shared" si="10"/>
        <v>-43689.075630252104</v>
      </c>
      <c r="R211" s="4">
        <f t="shared" si="11"/>
        <v>-24758</v>
      </c>
      <c r="S211" s="4">
        <f t="shared" si="12"/>
        <v>-18931.075630252104</v>
      </c>
    </row>
    <row r="212" spans="1:19" x14ac:dyDescent="0.3">
      <c r="A212">
        <v>300</v>
      </c>
      <c r="B212" t="s">
        <v>16</v>
      </c>
      <c r="C212" t="s">
        <v>698</v>
      </c>
      <c r="D212" s="1" t="s">
        <v>699</v>
      </c>
      <c r="E212" t="s">
        <v>700</v>
      </c>
      <c r="F212" t="s">
        <v>20</v>
      </c>
      <c r="G212" t="s">
        <v>21</v>
      </c>
      <c r="H212" t="s">
        <v>701</v>
      </c>
      <c r="I212" t="s">
        <v>23</v>
      </c>
      <c r="J212" t="s">
        <v>164</v>
      </c>
      <c r="K212" s="1" t="s">
        <v>690</v>
      </c>
      <c r="L212" t="s">
        <v>26</v>
      </c>
      <c r="M212">
        <v>25567</v>
      </c>
      <c r="N212">
        <v>-1</v>
      </c>
      <c r="O212" s="2">
        <v>-55990</v>
      </c>
      <c r="P212" s="2">
        <v>29046</v>
      </c>
      <c r="Q212" s="4">
        <f t="shared" si="10"/>
        <v>-47050.420168067227</v>
      </c>
      <c r="R212" s="4">
        <f t="shared" si="11"/>
        <v>-29046</v>
      </c>
      <c r="S212" s="4">
        <f t="shared" si="12"/>
        <v>-18004.420168067227</v>
      </c>
    </row>
    <row r="213" spans="1:19" x14ac:dyDescent="0.3">
      <c r="A213">
        <v>300</v>
      </c>
      <c r="B213" t="s">
        <v>16</v>
      </c>
      <c r="C213" t="s">
        <v>702</v>
      </c>
      <c r="D213" s="1" t="s">
        <v>703</v>
      </c>
      <c r="E213" t="s">
        <v>567</v>
      </c>
      <c r="F213" t="s">
        <v>20</v>
      </c>
      <c r="G213" t="s">
        <v>21</v>
      </c>
      <c r="H213" t="s">
        <v>568</v>
      </c>
      <c r="I213" t="s">
        <v>23</v>
      </c>
      <c r="J213" t="s">
        <v>31</v>
      </c>
      <c r="K213" s="1" t="s">
        <v>690</v>
      </c>
      <c r="L213" t="s">
        <v>26</v>
      </c>
      <c r="M213">
        <v>25568</v>
      </c>
      <c r="N213">
        <v>-1</v>
      </c>
      <c r="O213" s="2">
        <v>-48990</v>
      </c>
      <c r="P213" s="2">
        <v>22955</v>
      </c>
      <c r="Q213" s="4">
        <f t="shared" si="10"/>
        <v>-41168.067226890758</v>
      </c>
      <c r="R213" s="4">
        <f t="shared" si="11"/>
        <v>-22955</v>
      </c>
      <c r="S213" s="4">
        <f t="shared" si="12"/>
        <v>-18213.067226890758</v>
      </c>
    </row>
    <row r="214" spans="1:19" x14ac:dyDescent="0.3">
      <c r="A214">
        <v>300</v>
      </c>
      <c r="B214" t="s">
        <v>16</v>
      </c>
      <c r="C214" t="s">
        <v>704</v>
      </c>
      <c r="D214" s="1" t="s">
        <v>705</v>
      </c>
      <c r="E214" t="s">
        <v>706</v>
      </c>
      <c r="F214" t="s">
        <v>20</v>
      </c>
      <c r="G214" t="s">
        <v>21</v>
      </c>
      <c r="H214" t="s">
        <v>35</v>
      </c>
      <c r="I214" t="s">
        <v>23</v>
      </c>
      <c r="J214" t="s">
        <v>31</v>
      </c>
      <c r="K214" s="1" t="s">
        <v>690</v>
      </c>
      <c r="L214" t="s">
        <v>26</v>
      </c>
      <c r="M214">
        <v>25569</v>
      </c>
      <c r="N214">
        <v>-1</v>
      </c>
      <c r="O214" s="2">
        <v>-27990</v>
      </c>
      <c r="P214" s="2">
        <v>23449</v>
      </c>
      <c r="Q214" s="4">
        <f t="shared" si="10"/>
        <v>-23521.008403361346</v>
      </c>
      <c r="R214" s="4">
        <f t="shared" si="11"/>
        <v>-23449</v>
      </c>
      <c r="S214" s="4">
        <f t="shared" si="12"/>
        <v>-72.0084033613457</v>
      </c>
    </row>
    <row r="215" spans="1:19" x14ac:dyDescent="0.3">
      <c r="A215">
        <v>300</v>
      </c>
      <c r="B215" t="s">
        <v>16</v>
      </c>
      <c r="C215" t="s">
        <v>707</v>
      </c>
      <c r="D215" s="1" t="s">
        <v>708</v>
      </c>
      <c r="E215" t="s">
        <v>709</v>
      </c>
      <c r="F215" t="s">
        <v>20</v>
      </c>
      <c r="G215" t="s">
        <v>21</v>
      </c>
      <c r="H215" t="s">
        <v>443</v>
      </c>
      <c r="I215" t="s">
        <v>23</v>
      </c>
      <c r="J215" t="s">
        <v>24</v>
      </c>
      <c r="K215" s="1" t="s">
        <v>690</v>
      </c>
      <c r="L215" t="s">
        <v>26</v>
      </c>
      <c r="M215">
        <v>25570</v>
      </c>
      <c r="N215">
        <v>-1</v>
      </c>
      <c r="O215" s="2">
        <v>-59990</v>
      </c>
      <c r="P215" s="2">
        <v>32316</v>
      </c>
      <c r="Q215" s="4">
        <f t="shared" si="10"/>
        <v>-50411.764705882357</v>
      </c>
      <c r="R215" s="4">
        <f t="shared" si="11"/>
        <v>-32316</v>
      </c>
      <c r="S215" s="4">
        <f t="shared" si="12"/>
        <v>-18095.764705882357</v>
      </c>
    </row>
    <row r="216" spans="1:19" x14ac:dyDescent="0.3">
      <c r="A216">
        <v>300</v>
      </c>
      <c r="B216" t="s">
        <v>16</v>
      </c>
      <c r="C216" t="s">
        <v>710</v>
      </c>
      <c r="D216" s="1" t="s">
        <v>711</v>
      </c>
      <c r="E216" t="s">
        <v>712</v>
      </c>
      <c r="F216" t="s">
        <v>20</v>
      </c>
      <c r="G216" t="s">
        <v>21</v>
      </c>
      <c r="H216" t="s">
        <v>713</v>
      </c>
      <c r="I216" t="s">
        <v>23</v>
      </c>
      <c r="J216" t="s">
        <v>24</v>
      </c>
      <c r="K216" s="1" t="s">
        <v>690</v>
      </c>
      <c r="L216" t="s">
        <v>26</v>
      </c>
      <c r="M216">
        <v>25571</v>
      </c>
      <c r="N216">
        <v>-1</v>
      </c>
      <c r="O216" s="2">
        <v>-55990</v>
      </c>
      <c r="P216" s="2">
        <v>33857</v>
      </c>
      <c r="Q216" s="4">
        <f t="shared" si="10"/>
        <v>-47050.420168067227</v>
      </c>
      <c r="R216" s="4">
        <f t="shared" si="11"/>
        <v>-33857</v>
      </c>
      <c r="S216" s="4">
        <f t="shared" si="12"/>
        <v>-13193.420168067227</v>
      </c>
    </row>
    <row r="217" spans="1:19" x14ac:dyDescent="0.3">
      <c r="A217">
        <v>300</v>
      </c>
      <c r="B217" t="s">
        <v>16</v>
      </c>
      <c r="C217" t="s">
        <v>714</v>
      </c>
      <c r="D217" s="1" t="s">
        <v>715</v>
      </c>
      <c r="E217" t="s">
        <v>571</v>
      </c>
      <c r="F217" t="s">
        <v>20</v>
      </c>
      <c r="G217" t="s">
        <v>21</v>
      </c>
      <c r="H217" t="s">
        <v>184</v>
      </c>
      <c r="I217" t="s">
        <v>23</v>
      </c>
      <c r="J217" t="s">
        <v>31</v>
      </c>
      <c r="K217" s="1" t="s">
        <v>690</v>
      </c>
      <c r="L217" t="s">
        <v>26</v>
      </c>
      <c r="M217">
        <v>25572</v>
      </c>
      <c r="N217">
        <v>-1</v>
      </c>
      <c r="O217" s="2">
        <v>-48990</v>
      </c>
      <c r="P217" s="2">
        <v>23888</v>
      </c>
      <c r="Q217" s="4">
        <f t="shared" si="10"/>
        <v>-41168.067226890758</v>
      </c>
      <c r="R217" s="4">
        <f t="shared" si="11"/>
        <v>-23888</v>
      </c>
      <c r="S217" s="4">
        <f t="shared" si="12"/>
        <v>-17280.067226890758</v>
      </c>
    </row>
    <row r="218" spans="1:19" x14ac:dyDescent="0.3">
      <c r="A218">
        <v>300</v>
      </c>
      <c r="B218" t="s">
        <v>16</v>
      </c>
      <c r="C218" t="s">
        <v>716</v>
      </c>
      <c r="D218" s="1" t="s">
        <v>717</v>
      </c>
      <c r="E218" t="s">
        <v>718</v>
      </c>
      <c r="F218" t="s">
        <v>20</v>
      </c>
      <c r="G218" t="s">
        <v>21</v>
      </c>
      <c r="H218" t="s">
        <v>197</v>
      </c>
      <c r="I218" t="s">
        <v>23</v>
      </c>
      <c r="J218" t="s">
        <v>31</v>
      </c>
      <c r="K218" s="1" t="s">
        <v>690</v>
      </c>
      <c r="L218" t="s">
        <v>26</v>
      </c>
      <c r="M218">
        <v>25573</v>
      </c>
      <c r="N218">
        <v>-1</v>
      </c>
      <c r="O218" s="2">
        <v>-69951</v>
      </c>
      <c r="P218" s="2">
        <v>26363</v>
      </c>
      <c r="Q218" s="4">
        <f t="shared" si="10"/>
        <v>-58782.352941176476</v>
      </c>
      <c r="R218" s="4">
        <f t="shared" si="11"/>
        <v>-26363</v>
      </c>
      <c r="S218" s="4">
        <f t="shared" si="12"/>
        <v>-32419.352941176476</v>
      </c>
    </row>
    <row r="219" spans="1:19" x14ac:dyDescent="0.3">
      <c r="A219">
        <v>300</v>
      </c>
      <c r="B219" t="s">
        <v>16</v>
      </c>
      <c r="C219" t="s">
        <v>719</v>
      </c>
      <c r="D219" s="1" t="s">
        <v>720</v>
      </c>
      <c r="E219" t="s">
        <v>721</v>
      </c>
      <c r="F219" t="s">
        <v>20</v>
      </c>
      <c r="G219" t="s">
        <v>21</v>
      </c>
      <c r="H219" t="s">
        <v>631</v>
      </c>
      <c r="I219" t="s">
        <v>23</v>
      </c>
      <c r="J219" t="s">
        <v>49</v>
      </c>
      <c r="K219" s="1" t="s">
        <v>690</v>
      </c>
      <c r="L219" t="s">
        <v>26</v>
      </c>
      <c r="M219">
        <v>25574</v>
      </c>
      <c r="N219">
        <v>-1</v>
      </c>
      <c r="O219" s="2">
        <v>-39990</v>
      </c>
      <c r="P219" s="2">
        <v>24912</v>
      </c>
      <c r="Q219" s="4">
        <f t="shared" si="10"/>
        <v>-33605.042016806721</v>
      </c>
      <c r="R219" s="4">
        <f t="shared" si="11"/>
        <v>-24912</v>
      </c>
      <c r="S219" s="4">
        <f t="shared" si="12"/>
        <v>-8693.0420168067212</v>
      </c>
    </row>
    <row r="220" spans="1:19" x14ac:dyDescent="0.3">
      <c r="A220">
        <v>300</v>
      </c>
      <c r="B220" t="s">
        <v>16</v>
      </c>
      <c r="C220" t="s">
        <v>722</v>
      </c>
      <c r="D220" s="1" t="s">
        <v>723</v>
      </c>
      <c r="E220" t="s">
        <v>34</v>
      </c>
      <c r="F220" t="s">
        <v>20</v>
      </c>
      <c r="G220" t="s">
        <v>21</v>
      </c>
      <c r="H220" t="s">
        <v>35</v>
      </c>
      <c r="I220" t="s">
        <v>23</v>
      </c>
      <c r="J220" t="s">
        <v>31</v>
      </c>
      <c r="K220" s="1" t="s">
        <v>690</v>
      </c>
      <c r="L220" t="s">
        <v>26</v>
      </c>
      <c r="M220">
        <v>25578</v>
      </c>
      <c r="N220">
        <v>-1</v>
      </c>
      <c r="O220" s="2">
        <v>-29990</v>
      </c>
      <c r="P220" s="2">
        <v>18850</v>
      </c>
      <c r="Q220" s="4">
        <f t="shared" si="10"/>
        <v>-25201.680672268907</v>
      </c>
      <c r="R220" s="4">
        <f t="shared" si="11"/>
        <v>-18850</v>
      </c>
      <c r="S220" s="4">
        <f t="shared" si="12"/>
        <v>-6351.6806722689071</v>
      </c>
    </row>
    <row r="221" spans="1:19" x14ac:dyDescent="0.3">
      <c r="A221">
        <v>300</v>
      </c>
      <c r="B221" t="s">
        <v>16</v>
      </c>
      <c r="C221" t="s">
        <v>724</v>
      </c>
      <c r="D221" s="1" t="s">
        <v>725</v>
      </c>
      <c r="E221" t="s">
        <v>726</v>
      </c>
      <c r="F221" t="s">
        <v>20</v>
      </c>
      <c r="G221" t="s">
        <v>21</v>
      </c>
      <c r="H221" t="s">
        <v>587</v>
      </c>
      <c r="I221" t="s">
        <v>23</v>
      </c>
      <c r="J221" t="s">
        <v>49</v>
      </c>
      <c r="K221" s="1" t="s">
        <v>690</v>
      </c>
      <c r="L221" t="s">
        <v>26</v>
      </c>
      <c r="M221">
        <v>25579</v>
      </c>
      <c r="N221">
        <v>-1</v>
      </c>
      <c r="O221" s="2">
        <v>-34990</v>
      </c>
      <c r="P221" s="2">
        <v>18335</v>
      </c>
      <c r="Q221" s="4">
        <f t="shared" si="10"/>
        <v>-29403.361344537818</v>
      </c>
      <c r="R221" s="4">
        <f t="shared" si="11"/>
        <v>-18335</v>
      </c>
      <c r="S221" s="4">
        <f t="shared" si="12"/>
        <v>-11068.361344537818</v>
      </c>
    </row>
    <row r="222" spans="1:19" x14ac:dyDescent="0.3">
      <c r="A222">
        <v>300</v>
      </c>
      <c r="B222" t="s">
        <v>16</v>
      </c>
      <c r="C222" t="s">
        <v>727</v>
      </c>
      <c r="D222" s="1" t="s">
        <v>728</v>
      </c>
      <c r="E222" t="s">
        <v>729</v>
      </c>
      <c r="F222" t="s">
        <v>20</v>
      </c>
      <c r="G222" t="s">
        <v>21</v>
      </c>
      <c r="H222" t="s">
        <v>443</v>
      </c>
      <c r="I222" t="s">
        <v>23</v>
      </c>
      <c r="J222" t="s">
        <v>49</v>
      </c>
      <c r="K222" s="1" t="s">
        <v>690</v>
      </c>
      <c r="L222" t="s">
        <v>26</v>
      </c>
      <c r="M222">
        <v>25580</v>
      </c>
      <c r="N222">
        <v>-1</v>
      </c>
      <c r="O222" s="2">
        <v>-49990</v>
      </c>
      <c r="P222" s="2">
        <v>26334</v>
      </c>
      <c r="Q222" s="4">
        <f t="shared" si="10"/>
        <v>-42008.403361344543</v>
      </c>
      <c r="R222" s="4">
        <f t="shared" si="11"/>
        <v>-26334</v>
      </c>
      <c r="S222" s="4">
        <f t="shared" si="12"/>
        <v>-15674.403361344543</v>
      </c>
    </row>
    <row r="223" spans="1:19" x14ac:dyDescent="0.3">
      <c r="A223">
        <v>300</v>
      </c>
      <c r="B223" t="s">
        <v>16</v>
      </c>
      <c r="C223" t="s">
        <v>730</v>
      </c>
      <c r="D223" s="1" t="s">
        <v>731</v>
      </c>
      <c r="E223" t="s">
        <v>732</v>
      </c>
      <c r="F223" t="s">
        <v>20</v>
      </c>
      <c r="G223" t="s">
        <v>21</v>
      </c>
      <c r="H223" t="s">
        <v>733</v>
      </c>
      <c r="I223" t="s">
        <v>23</v>
      </c>
      <c r="J223" t="s">
        <v>24</v>
      </c>
      <c r="K223" s="1" t="s">
        <v>690</v>
      </c>
      <c r="L223" t="s">
        <v>26</v>
      </c>
      <c r="M223">
        <v>25581</v>
      </c>
      <c r="N223">
        <v>-1</v>
      </c>
      <c r="O223" s="2">
        <v>-43990</v>
      </c>
      <c r="P223" s="2">
        <v>36238</v>
      </c>
      <c r="Q223" s="4">
        <f t="shared" si="10"/>
        <v>-36966.386554621851</v>
      </c>
      <c r="R223" s="4">
        <f t="shared" si="11"/>
        <v>-36238</v>
      </c>
      <c r="S223" s="4">
        <f t="shared" si="12"/>
        <v>-728.38655462185125</v>
      </c>
    </row>
    <row r="224" spans="1:19" x14ac:dyDescent="0.3">
      <c r="A224">
        <v>300</v>
      </c>
      <c r="B224" t="s">
        <v>16</v>
      </c>
      <c r="C224" t="s">
        <v>734</v>
      </c>
      <c r="D224" s="1" t="s">
        <v>735</v>
      </c>
      <c r="E224" t="s">
        <v>736</v>
      </c>
      <c r="F224" t="s">
        <v>20</v>
      </c>
      <c r="G224" t="s">
        <v>21</v>
      </c>
      <c r="H224" t="s">
        <v>343</v>
      </c>
      <c r="I224" t="s">
        <v>23</v>
      </c>
      <c r="J224" t="s">
        <v>49</v>
      </c>
      <c r="K224" s="1" t="s">
        <v>690</v>
      </c>
      <c r="L224" t="s">
        <v>26</v>
      </c>
      <c r="M224">
        <v>25582</v>
      </c>
      <c r="N224">
        <v>-1</v>
      </c>
      <c r="O224" s="2">
        <v>-34990</v>
      </c>
      <c r="P224" s="2">
        <v>22261</v>
      </c>
      <c r="Q224" s="4">
        <f t="shared" si="10"/>
        <v>-29403.361344537818</v>
      </c>
      <c r="R224" s="4">
        <f t="shared" si="11"/>
        <v>-22261</v>
      </c>
      <c r="S224" s="4">
        <f t="shared" si="12"/>
        <v>-7142.3613445378178</v>
      </c>
    </row>
    <row r="225" spans="1:19" x14ac:dyDescent="0.3">
      <c r="A225">
        <v>300</v>
      </c>
      <c r="B225" t="s">
        <v>16</v>
      </c>
      <c r="C225" t="s">
        <v>737</v>
      </c>
      <c r="D225" s="1" t="s">
        <v>738</v>
      </c>
      <c r="E225" t="s">
        <v>125</v>
      </c>
      <c r="F225" t="s">
        <v>20</v>
      </c>
      <c r="G225" t="s">
        <v>21</v>
      </c>
      <c r="H225" t="s">
        <v>126</v>
      </c>
      <c r="I225" t="s">
        <v>23</v>
      </c>
      <c r="J225" t="s">
        <v>49</v>
      </c>
      <c r="K225" s="1" t="s">
        <v>690</v>
      </c>
      <c r="L225" t="s">
        <v>26</v>
      </c>
      <c r="M225">
        <v>25583</v>
      </c>
      <c r="N225">
        <v>-1</v>
      </c>
      <c r="O225" s="2">
        <v>-41990</v>
      </c>
      <c r="P225" s="2">
        <v>25715</v>
      </c>
      <c r="Q225" s="4">
        <f t="shared" si="10"/>
        <v>-35285.71428571429</v>
      </c>
      <c r="R225" s="4">
        <f t="shared" si="11"/>
        <v>-25715</v>
      </c>
      <c r="S225" s="4">
        <f t="shared" si="12"/>
        <v>-9570.7142857142899</v>
      </c>
    </row>
    <row r="226" spans="1:19" x14ac:dyDescent="0.3">
      <c r="A226">
        <v>300</v>
      </c>
      <c r="B226" t="s">
        <v>16</v>
      </c>
      <c r="C226" t="s">
        <v>739</v>
      </c>
      <c r="D226" s="1" t="s">
        <v>740</v>
      </c>
      <c r="E226" t="s">
        <v>741</v>
      </c>
      <c r="F226" t="s">
        <v>20</v>
      </c>
      <c r="G226" t="s">
        <v>21</v>
      </c>
      <c r="H226" t="s">
        <v>30</v>
      </c>
      <c r="I226" t="s">
        <v>23</v>
      </c>
      <c r="J226" t="s">
        <v>31</v>
      </c>
      <c r="K226" s="1" t="s">
        <v>690</v>
      </c>
      <c r="L226" t="s">
        <v>26</v>
      </c>
      <c r="M226">
        <v>25584</v>
      </c>
      <c r="N226">
        <v>-1</v>
      </c>
      <c r="O226" s="2">
        <v>-34990</v>
      </c>
      <c r="P226" s="2">
        <v>24859</v>
      </c>
      <c r="Q226" s="4">
        <f t="shared" si="10"/>
        <v>-29403.361344537818</v>
      </c>
      <c r="R226" s="4">
        <f t="shared" si="11"/>
        <v>-24859</v>
      </c>
      <c r="S226" s="4">
        <f t="shared" si="12"/>
        <v>-4544.3613445378178</v>
      </c>
    </row>
    <row r="227" spans="1:19" x14ac:dyDescent="0.3">
      <c r="A227">
        <v>300</v>
      </c>
      <c r="B227" t="s">
        <v>16</v>
      </c>
      <c r="C227" t="s">
        <v>742</v>
      </c>
      <c r="D227" s="1" t="s">
        <v>743</v>
      </c>
      <c r="E227" t="s">
        <v>204</v>
      </c>
      <c r="F227" t="s">
        <v>20</v>
      </c>
      <c r="G227" t="s">
        <v>21</v>
      </c>
      <c r="H227" t="s">
        <v>205</v>
      </c>
      <c r="I227" t="s">
        <v>23</v>
      </c>
      <c r="J227" t="s">
        <v>49</v>
      </c>
      <c r="K227" s="1" t="s">
        <v>690</v>
      </c>
      <c r="L227" t="s">
        <v>26</v>
      </c>
      <c r="M227">
        <v>25585</v>
      </c>
      <c r="N227">
        <v>-1</v>
      </c>
      <c r="O227" s="2">
        <v>-51990</v>
      </c>
      <c r="P227" s="2">
        <v>32200</v>
      </c>
      <c r="Q227" s="4">
        <f t="shared" si="10"/>
        <v>-43689.075630252104</v>
      </c>
      <c r="R227" s="4">
        <f t="shared" si="11"/>
        <v>-32200</v>
      </c>
      <c r="S227" s="4">
        <f t="shared" si="12"/>
        <v>-11489.075630252104</v>
      </c>
    </row>
    <row r="228" spans="1:19" x14ac:dyDescent="0.3">
      <c r="A228">
        <v>300</v>
      </c>
      <c r="B228" t="s">
        <v>16</v>
      </c>
      <c r="C228" t="s">
        <v>744</v>
      </c>
      <c r="D228" s="1" t="s">
        <v>745</v>
      </c>
      <c r="E228" t="s">
        <v>746</v>
      </c>
      <c r="F228" t="s">
        <v>20</v>
      </c>
      <c r="G228" t="s">
        <v>21</v>
      </c>
      <c r="H228" t="s">
        <v>76</v>
      </c>
      <c r="I228" t="s">
        <v>23</v>
      </c>
      <c r="J228" t="s">
        <v>44</v>
      </c>
      <c r="K228" s="1" t="s">
        <v>690</v>
      </c>
      <c r="L228" t="s">
        <v>26</v>
      </c>
      <c r="M228">
        <v>25586</v>
      </c>
      <c r="N228">
        <v>-1</v>
      </c>
      <c r="O228" s="2">
        <v>-34990</v>
      </c>
      <c r="P228" s="2">
        <v>24496</v>
      </c>
      <c r="Q228" s="4">
        <f t="shared" si="10"/>
        <v>-29403.361344537818</v>
      </c>
      <c r="R228" s="4">
        <f t="shared" si="11"/>
        <v>-24496</v>
      </c>
      <c r="S228" s="4">
        <f t="shared" si="12"/>
        <v>-4907.3613445378178</v>
      </c>
    </row>
    <row r="229" spans="1:19" x14ac:dyDescent="0.3">
      <c r="A229">
        <v>300</v>
      </c>
      <c r="B229" t="s">
        <v>16</v>
      </c>
      <c r="C229" t="s">
        <v>747</v>
      </c>
      <c r="D229" s="1" t="s">
        <v>748</v>
      </c>
      <c r="E229" t="s">
        <v>749</v>
      </c>
      <c r="F229" t="s">
        <v>20</v>
      </c>
      <c r="G229" t="s">
        <v>21</v>
      </c>
      <c r="H229" t="s">
        <v>750</v>
      </c>
      <c r="I229" t="s">
        <v>23</v>
      </c>
      <c r="J229" t="s">
        <v>49</v>
      </c>
      <c r="K229" s="1" t="s">
        <v>690</v>
      </c>
      <c r="L229" t="s">
        <v>26</v>
      </c>
      <c r="M229">
        <v>25587</v>
      </c>
      <c r="N229">
        <v>-1</v>
      </c>
      <c r="O229" s="2">
        <v>-44990</v>
      </c>
      <c r="P229" s="2">
        <v>30060</v>
      </c>
      <c r="Q229" s="4">
        <f t="shared" si="10"/>
        <v>-37806.722689075636</v>
      </c>
      <c r="R229" s="4">
        <f t="shared" si="11"/>
        <v>-30060</v>
      </c>
      <c r="S229" s="4">
        <f t="shared" si="12"/>
        <v>-7746.7226890756356</v>
      </c>
    </row>
    <row r="230" spans="1:19" x14ac:dyDescent="0.3">
      <c r="A230">
        <v>300</v>
      </c>
      <c r="B230" t="s">
        <v>16</v>
      </c>
      <c r="C230" t="s">
        <v>704</v>
      </c>
      <c r="D230" s="1" t="s">
        <v>705</v>
      </c>
      <c r="E230" t="s">
        <v>706</v>
      </c>
      <c r="F230" t="s">
        <v>20</v>
      </c>
      <c r="G230" t="s">
        <v>21</v>
      </c>
      <c r="H230" t="s">
        <v>35</v>
      </c>
      <c r="I230" t="s">
        <v>23</v>
      </c>
      <c r="J230" t="s">
        <v>31</v>
      </c>
      <c r="K230" s="1" t="s">
        <v>690</v>
      </c>
      <c r="L230" t="s">
        <v>26</v>
      </c>
      <c r="M230">
        <v>25588</v>
      </c>
      <c r="N230">
        <v>-1</v>
      </c>
      <c r="O230" s="2">
        <v>-29990</v>
      </c>
      <c r="P230" s="2">
        <v>23449</v>
      </c>
      <c r="Q230" s="4">
        <f t="shared" si="10"/>
        <v>-25201.680672268907</v>
      </c>
      <c r="R230" s="4">
        <f t="shared" si="11"/>
        <v>-23449</v>
      </c>
      <c r="S230" s="4">
        <f t="shared" si="12"/>
        <v>-1752.6806722689071</v>
      </c>
    </row>
    <row r="231" spans="1:19" x14ac:dyDescent="0.3">
      <c r="A231">
        <v>300</v>
      </c>
      <c r="B231" t="s">
        <v>16</v>
      </c>
      <c r="C231" t="s">
        <v>751</v>
      </c>
      <c r="D231" s="1" t="s">
        <v>752</v>
      </c>
      <c r="E231" t="s">
        <v>640</v>
      </c>
      <c r="F231" t="s">
        <v>20</v>
      </c>
      <c r="G231" t="s">
        <v>21</v>
      </c>
      <c r="H231" t="s">
        <v>641</v>
      </c>
      <c r="I231" t="s">
        <v>23</v>
      </c>
      <c r="J231" t="s">
        <v>31</v>
      </c>
      <c r="K231" s="1" t="s">
        <v>690</v>
      </c>
      <c r="L231" t="s">
        <v>26</v>
      </c>
      <c r="M231">
        <v>25589</v>
      </c>
      <c r="N231">
        <v>-1</v>
      </c>
      <c r="O231" s="2">
        <v>-55990</v>
      </c>
      <c r="P231" s="2">
        <v>31216</v>
      </c>
      <c r="Q231" s="4">
        <f t="shared" si="10"/>
        <v>-47050.420168067227</v>
      </c>
      <c r="R231" s="4">
        <f t="shared" si="11"/>
        <v>-31216</v>
      </c>
      <c r="S231" s="4">
        <f t="shared" si="12"/>
        <v>-15834.420168067227</v>
      </c>
    </row>
    <row r="232" spans="1:19" x14ac:dyDescent="0.3">
      <c r="A232">
        <v>300</v>
      </c>
      <c r="B232" t="s">
        <v>16</v>
      </c>
      <c r="C232" t="s">
        <v>753</v>
      </c>
      <c r="D232" s="1" t="s">
        <v>754</v>
      </c>
      <c r="E232" t="s">
        <v>755</v>
      </c>
      <c r="F232" t="s">
        <v>20</v>
      </c>
      <c r="G232" t="s">
        <v>21</v>
      </c>
      <c r="H232" t="s">
        <v>22</v>
      </c>
      <c r="I232" t="s">
        <v>23</v>
      </c>
      <c r="J232" t="s">
        <v>24</v>
      </c>
      <c r="K232" s="1" t="s">
        <v>690</v>
      </c>
      <c r="L232" t="s">
        <v>26</v>
      </c>
      <c r="M232">
        <v>25590</v>
      </c>
      <c r="N232">
        <v>-1</v>
      </c>
      <c r="O232" s="2">
        <v>-49990</v>
      </c>
      <c r="P232" s="2">
        <v>34586</v>
      </c>
      <c r="Q232" s="4">
        <f t="shared" si="10"/>
        <v>-42008.403361344543</v>
      </c>
      <c r="R232" s="4">
        <f t="shared" si="11"/>
        <v>-34586</v>
      </c>
      <c r="S232" s="4">
        <f t="shared" si="12"/>
        <v>-7422.4033613445426</v>
      </c>
    </row>
    <row r="233" spans="1:19" x14ac:dyDescent="0.3">
      <c r="A233">
        <v>300</v>
      </c>
      <c r="B233" t="s">
        <v>16</v>
      </c>
      <c r="C233" t="s">
        <v>103</v>
      </c>
      <c r="D233" s="1" t="s">
        <v>104</v>
      </c>
      <c r="E233" t="s">
        <v>105</v>
      </c>
      <c r="F233" t="s">
        <v>20</v>
      </c>
      <c r="G233" t="s">
        <v>21</v>
      </c>
      <c r="H233" t="s">
        <v>106</v>
      </c>
      <c r="I233" t="s">
        <v>23</v>
      </c>
      <c r="J233" t="s">
        <v>49</v>
      </c>
      <c r="K233" s="1" t="s">
        <v>690</v>
      </c>
      <c r="L233" t="s">
        <v>26</v>
      </c>
      <c r="M233">
        <v>25591</v>
      </c>
      <c r="N233">
        <v>-1</v>
      </c>
      <c r="O233" s="2">
        <v>-44990</v>
      </c>
      <c r="P233" s="2">
        <v>22405</v>
      </c>
      <c r="Q233" s="4">
        <f t="shared" si="10"/>
        <v>-37806.722689075636</v>
      </c>
      <c r="R233" s="4">
        <f t="shared" si="11"/>
        <v>-22405</v>
      </c>
      <c r="S233" s="4">
        <f t="shared" si="12"/>
        <v>-15401.722689075636</v>
      </c>
    </row>
    <row r="234" spans="1:19" x14ac:dyDescent="0.3">
      <c r="A234">
        <v>300</v>
      </c>
      <c r="B234" t="s">
        <v>16</v>
      </c>
      <c r="C234" t="s">
        <v>756</v>
      </c>
      <c r="D234" s="1" t="s">
        <v>757</v>
      </c>
      <c r="E234" t="s">
        <v>758</v>
      </c>
      <c r="F234" t="s">
        <v>20</v>
      </c>
      <c r="G234" t="s">
        <v>21</v>
      </c>
      <c r="H234" t="s">
        <v>631</v>
      </c>
      <c r="I234" t="s">
        <v>23</v>
      </c>
      <c r="J234" t="s">
        <v>49</v>
      </c>
      <c r="K234" s="1" t="s">
        <v>690</v>
      </c>
      <c r="L234" t="s">
        <v>26</v>
      </c>
      <c r="M234">
        <v>25592</v>
      </c>
      <c r="N234">
        <v>-1</v>
      </c>
      <c r="O234" s="2">
        <v>-39990</v>
      </c>
      <c r="P234" s="2">
        <v>25828</v>
      </c>
      <c r="Q234" s="4">
        <f t="shared" si="10"/>
        <v>-33605.042016806721</v>
      </c>
      <c r="R234" s="4">
        <f t="shared" si="11"/>
        <v>-25828</v>
      </c>
      <c r="S234" s="4">
        <f t="shared" si="12"/>
        <v>-7777.0420168067212</v>
      </c>
    </row>
    <row r="235" spans="1:19" x14ac:dyDescent="0.3">
      <c r="A235">
        <v>300</v>
      </c>
      <c r="B235" t="s">
        <v>16</v>
      </c>
      <c r="C235" t="s">
        <v>759</v>
      </c>
      <c r="D235" s="1" t="s">
        <v>760</v>
      </c>
      <c r="E235" t="s">
        <v>761</v>
      </c>
      <c r="F235" t="s">
        <v>20</v>
      </c>
      <c r="G235" t="s">
        <v>21</v>
      </c>
      <c r="H235" t="s">
        <v>611</v>
      </c>
      <c r="I235" t="s">
        <v>23</v>
      </c>
      <c r="J235" t="s">
        <v>31</v>
      </c>
      <c r="K235" s="1" t="s">
        <v>690</v>
      </c>
      <c r="L235" t="s">
        <v>26</v>
      </c>
      <c r="M235">
        <v>25593</v>
      </c>
      <c r="N235">
        <v>-1</v>
      </c>
      <c r="O235" s="2">
        <v>-29990</v>
      </c>
      <c r="P235" s="2">
        <v>25042</v>
      </c>
      <c r="Q235" s="4">
        <f t="shared" si="10"/>
        <v>-25201.680672268907</v>
      </c>
      <c r="R235" s="4">
        <f t="shared" si="11"/>
        <v>-25042</v>
      </c>
      <c r="S235" s="4">
        <f t="shared" si="12"/>
        <v>-159.68067226890707</v>
      </c>
    </row>
    <row r="236" spans="1:19" x14ac:dyDescent="0.3">
      <c r="A236">
        <v>300</v>
      </c>
      <c r="B236" t="s">
        <v>16</v>
      </c>
      <c r="C236" t="s">
        <v>762</v>
      </c>
      <c r="D236" s="1" t="s">
        <v>763</v>
      </c>
      <c r="E236" t="s">
        <v>764</v>
      </c>
      <c r="F236" t="s">
        <v>20</v>
      </c>
      <c r="G236" t="s">
        <v>21</v>
      </c>
      <c r="H236" t="s">
        <v>475</v>
      </c>
      <c r="I236" t="s">
        <v>23</v>
      </c>
      <c r="J236" t="s">
        <v>65</v>
      </c>
      <c r="K236" s="1" t="s">
        <v>690</v>
      </c>
      <c r="L236" t="s">
        <v>26</v>
      </c>
      <c r="M236">
        <v>25594</v>
      </c>
      <c r="N236">
        <v>-1</v>
      </c>
      <c r="O236" s="2">
        <v>-29990</v>
      </c>
      <c r="P236" s="2">
        <v>17216</v>
      </c>
      <c r="Q236" s="4">
        <f t="shared" si="10"/>
        <v>-25201.680672268907</v>
      </c>
      <c r="R236" s="4">
        <f t="shared" si="11"/>
        <v>-17216</v>
      </c>
      <c r="S236" s="4">
        <f t="shared" si="12"/>
        <v>-7985.6806722689071</v>
      </c>
    </row>
    <row r="237" spans="1:19" x14ac:dyDescent="0.3">
      <c r="A237">
        <v>300</v>
      </c>
      <c r="B237" t="s">
        <v>16</v>
      </c>
      <c r="C237" t="s">
        <v>765</v>
      </c>
      <c r="D237" s="1" t="s">
        <v>766</v>
      </c>
      <c r="E237" t="s">
        <v>767</v>
      </c>
      <c r="F237" t="s">
        <v>20</v>
      </c>
      <c r="G237" t="s">
        <v>21</v>
      </c>
      <c r="H237" t="s">
        <v>378</v>
      </c>
      <c r="I237" t="s">
        <v>23</v>
      </c>
      <c r="J237" t="s">
        <v>65</v>
      </c>
      <c r="K237" s="1" t="s">
        <v>690</v>
      </c>
      <c r="L237" t="s">
        <v>26</v>
      </c>
      <c r="M237">
        <v>25595</v>
      </c>
      <c r="N237">
        <v>-1</v>
      </c>
      <c r="O237" s="2">
        <v>-29990</v>
      </c>
      <c r="P237" s="2">
        <v>20018</v>
      </c>
      <c r="Q237" s="4">
        <f t="shared" si="10"/>
        <v>-25201.680672268907</v>
      </c>
      <c r="R237" s="4">
        <f t="shared" si="11"/>
        <v>-20018</v>
      </c>
      <c r="S237" s="4">
        <f t="shared" si="12"/>
        <v>-5183.6806722689071</v>
      </c>
    </row>
    <row r="238" spans="1:19" x14ac:dyDescent="0.3">
      <c r="A238">
        <v>300</v>
      </c>
      <c r="B238" t="s">
        <v>16</v>
      </c>
      <c r="C238" t="s">
        <v>768</v>
      </c>
      <c r="D238" s="1" t="s">
        <v>769</v>
      </c>
      <c r="E238" t="s">
        <v>770</v>
      </c>
      <c r="F238" t="s">
        <v>20</v>
      </c>
      <c r="G238" t="s">
        <v>21</v>
      </c>
      <c r="H238" t="s">
        <v>278</v>
      </c>
      <c r="I238" t="s">
        <v>23</v>
      </c>
      <c r="J238" t="s">
        <v>209</v>
      </c>
      <c r="K238" s="1" t="s">
        <v>690</v>
      </c>
      <c r="L238" t="s">
        <v>26</v>
      </c>
      <c r="M238">
        <v>25596</v>
      </c>
      <c r="N238">
        <v>-1</v>
      </c>
      <c r="O238" s="2">
        <v>-89990</v>
      </c>
      <c r="P238" s="2">
        <v>39896</v>
      </c>
      <c r="Q238" s="4">
        <f t="shared" si="10"/>
        <v>-75621.848739495807</v>
      </c>
      <c r="R238" s="4">
        <f t="shared" si="11"/>
        <v>-39896</v>
      </c>
      <c r="S238" s="4">
        <f t="shared" si="12"/>
        <v>-35725.848739495807</v>
      </c>
    </row>
    <row r="239" spans="1:19" x14ac:dyDescent="0.3">
      <c r="A239">
        <v>300</v>
      </c>
      <c r="B239" t="s">
        <v>16</v>
      </c>
      <c r="C239" t="s">
        <v>771</v>
      </c>
      <c r="D239" s="1" t="s">
        <v>772</v>
      </c>
      <c r="E239" t="s">
        <v>327</v>
      </c>
      <c r="F239" t="s">
        <v>20</v>
      </c>
      <c r="G239" t="s">
        <v>21</v>
      </c>
      <c r="H239" t="s">
        <v>328</v>
      </c>
      <c r="I239" t="s">
        <v>23</v>
      </c>
      <c r="J239" t="s">
        <v>49</v>
      </c>
      <c r="K239" s="1" t="s">
        <v>690</v>
      </c>
      <c r="L239" t="s">
        <v>26</v>
      </c>
      <c r="M239">
        <v>25597</v>
      </c>
      <c r="N239">
        <v>-1</v>
      </c>
      <c r="O239" s="2">
        <v>-49990</v>
      </c>
      <c r="P239" s="2">
        <v>27945</v>
      </c>
      <c r="Q239" s="4">
        <f t="shared" si="10"/>
        <v>-42008.403361344543</v>
      </c>
      <c r="R239" s="4">
        <f t="shared" si="11"/>
        <v>-27945</v>
      </c>
      <c r="S239" s="4">
        <f t="shared" si="12"/>
        <v>-14063.403361344543</v>
      </c>
    </row>
    <row r="240" spans="1:19" x14ac:dyDescent="0.3">
      <c r="A240">
        <v>300</v>
      </c>
      <c r="B240" t="s">
        <v>16</v>
      </c>
      <c r="C240" t="s">
        <v>773</v>
      </c>
      <c r="D240" s="1" t="s">
        <v>774</v>
      </c>
      <c r="E240" t="s">
        <v>775</v>
      </c>
      <c r="F240" t="s">
        <v>20</v>
      </c>
      <c r="G240" t="s">
        <v>21</v>
      </c>
      <c r="H240" t="s">
        <v>460</v>
      </c>
      <c r="I240" t="s">
        <v>23</v>
      </c>
      <c r="J240" t="s">
        <v>24</v>
      </c>
      <c r="K240" s="1" t="s">
        <v>690</v>
      </c>
      <c r="L240" t="s">
        <v>26</v>
      </c>
      <c r="M240">
        <v>25598</v>
      </c>
      <c r="N240">
        <v>-1</v>
      </c>
      <c r="O240" s="2">
        <v>-69990</v>
      </c>
      <c r="P240" s="2">
        <v>35325</v>
      </c>
      <c r="Q240" s="4">
        <f t="shared" si="10"/>
        <v>-58815.126050420171</v>
      </c>
      <c r="R240" s="4">
        <f t="shared" si="11"/>
        <v>-35325</v>
      </c>
      <c r="S240" s="4">
        <f t="shared" si="12"/>
        <v>-23490.126050420171</v>
      </c>
    </row>
    <row r="241" spans="1:19" x14ac:dyDescent="0.3">
      <c r="A241">
        <v>300</v>
      </c>
      <c r="B241" t="s">
        <v>16</v>
      </c>
      <c r="C241" t="s">
        <v>776</v>
      </c>
      <c r="D241" s="1" t="s">
        <v>777</v>
      </c>
      <c r="E241" t="s">
        <v>574</v>
      </c>
      <c r="F241" t="s">
        <v>20</v>
      </c>
      <c r="G241" t="s">
        <v>21</v>
      </c>
      <c r="H241" t="s">
        <v>575</v>
      </c>
      <c r="I241" t="s">
        <v>23</v>
      </c>
      <c r="J241" t="s">
        <v>24</v>
      </c>
      <c r="K241" s="1" t="s">
        <v>690</v>
      </c>
      <c r="L241" t="s">
        <v>26</v>
      </c>
      <c r="M241">
        <v>25599</v>
      </c>
      <c r="N241">
        <v>-1</v>
      </c>
      <c r="O241" s="2">
        <v>-52990</v>
      </c>
      <c r="P241" s="2">
        <v>37216</v>
      </c>
      <c r="Q241" s="4">
        <f t="shared" si="10"/>
        <v>-44529.411764705881</v>
      </c>
      <c r="R241" s="4">
        <f t="shared" si="11"/>
        <v>-37216</v>
      </c>
      <c r="S241" s="4">
        <f t="shared" si="12"/>
        <v>-7313.4117647058811</v>
      </c>
    </row>
    <row r="242" spans="1:19" x14ac:dyDescent="0.3">
      <c r="A242">
        <v>300</v>
      </c>
      <c r="B242" t="s">
        <v>16</v>
      </c>
      <c r="C242" t="s">
        <v>778</v>
      </c>
      <c r="D242" s="1" t="s">
        <v>779</v>
      </c>
      <c r="E242" t="s">
        <v>780</v>
      </c>
      <c r="F242" t="s">
        <v>20</v>
      </c>
      <c r="G242" t="s">
        <v>21</v>
      </c>
      <c r="H242" t="s">
        <v>781</v>
      </c>
      <c r="I242" t="s">
        <v>23</v>
      </c>
      <c r="J242" t="s">
        <v>31</v>
      </c>
      <c r="K242" s="1" t="s">
        <v>690</v>
      </c>
      <c r="L242" t="s">
        <v>26</v>
      </c>
      <c r="M242">
        <v>25600</v>
      </c>
      <c r="N242">
        <v>-1</v>
      </c>
      <c r="O242" s="2">
        <v>-34990</v>
      </c>
      <c r="P242" s="2">
        <v>22084</v>
      </c>
      <c r="Q242" s="4">
        <f t="shared" si="10"/>
        <v>-29403.361344537818</v>
      </c>
      <c r="R242" s="4">
        <f t="shared" si="11"/>
        <v>-22084</v>
      </c>
      <c r="S242" s="4">
        <f t="shared" si="12"/>
        <v>-7319.3613445378178</v>
      </c>
    </row>
    <row r="243" spans="1:19" x14ac:dyDescent="0.3">
      <c r="A243">
        <v>300</v>
      </c>
      <c r="B243" t="s">
        <v>16</v>
      </c>
      <c r="C243" t="s">
        <v>747</v>
      </c>
      <c r="D243" s="1" t="s">
        <v>748</v>
      </c>
      <c r="E243" t="s">
        <v>749</v>
      </c>
      <c r="F243" t="s">
        <v>20</v>
      </c>
      <c r="G243" t="s">
        <v>21</v>
      </c>
      <c r="H243" t="s">
        <v>750</v>
      </c>
      <c r="I243" t="s">
        <v>23</v>
      </c>
      <c r="J243" t="s">
        <v>49</v>
      </c>
      <c r="K243" s="1" t="s">
        <v>690</v>
      </c>
      <c r="L243" t="s">
        <v>26</v>
      </c>
      <c r="M243">
        <v>25601</v>
      </c>
      <c r="N243">
        <v>-1</v>
      </c>
      <c r="O243" s="2">
        <v>-44990</v>
      </c>
      <c r="P243" s="2">
        <v>30060</v>
      </c>
      <c r="Q243" s="4">
        <f t="shared" si="10"/>
        <v>-37806.722689075636</v>
      </c>
      <c r="R243" s="4">
        <f t="shared" si="11"/>
        <v>-30060</v>
      </c>
      <c r="S243" s="4">
        <f t="shared" si="12"/>
        <v>-7746.7226890756356</v>
      </c>
    </row>
    <row r="244" spans="1:19" x14ac:dyDescent="0.3">
      <c r="A244">
        <v>300</v>
      </c>
      <c r="B244" t="s">
        <v>16</v>
      </c>
      <c r="C244" t="s">
        <v>782</v>
      </c>
      <c r="D244" s="1" t="s">
        <v>783</v>
      </c>
      <c r="E244" t="s">
        <v>784</v>
      </c>
      <c r="F244" t="s">
        <v>20</v>
      </c>
      <c r="G244" t="s">
        <v>21</v>
      </c>
      <c r="H244" t="s">
        <v>22</v>
      </c>
      <c r="I244" t="s">
        <v>23</v>
      </c>
      <c r="J244" t="s">
        <v>24</v>
      </c>
      <c r="K244" s="1" t="s">
        <v>690</v>
      </c>
      <c r="L244" t="s">
        <v>26</v>
      </c>
      <c r="M244">
        <v>25602</v>
      </c>
      <c r="N244">
        <v>-1</v>
      </c>
      <c r="O244" s="2">
        <v>-49990</v>
      </c>
      <c r="P244" s="2">
        <v>31826</v>
      </c>
      <c r="Q244" s="4">
        <f t="shared" si="10"/>
        <v>-42008.403361344543</v>
      </c>
      <c r="R244" s="4">
        <f t="shared" si="11"/>
        <v>-31826</v>
      </c>
      <c r="S244" s="4">
        <f t="shared" si="12"/>
        <v>-10182.403361344543</v>
      </c>
    </row>
    <row r="245" spans="1:19" x14ac:dyDescent="0.3">
      <c r="A245">
        <v>300</v>
      </c>
      <c r="B245" t="s">
        <v>16</v>
      </c>
      <c r="C245" t="s">
        <v>785</v>
      </c>
      <c r="D245" s="1" t="s">
        <v>786</v>
      </c>
      <c r="E245" t="s">
        <v>712</v>
      </c>
      <c r="F245" t="s">
        <v>20</v>
      </c>
      <c r="G245" t="s">
        <v>21</v>
      </c>
      <c r="H245" t="s">
        <v>713</v>
      </c>
      <c r="I245" t="s">
        <v>23</v>
      </c>
      <c r="J245" t="s">
        <v>24</v>
      </c>
      <c r="K245" s="1" t="s">
        <v>690</v>
      </c>
      <c r="L245" t="s">
        <v>26</v>
      </c>
      <c r="M245">
        <v>25603</v>
      </c>
      <c r="N245">
        <v>-1</v>
      </c>
      <c r="O245" s="2">
        <v>-59990</v>
      </c>
      <c r="P245" s="2">
        <v>33761</v>
      </c>
      <c r="Q245" s="4">
        <f t="shared" si="10"/>
        <v>-50411.764705882357</v>
      </c>
      <c r="R245" s="4">
        <f t="shared" si="11"/>
        <v>-33761</v>
      </c>
      <c r="S245" s="4">
        <f t="shared" si="12"/>
        <v>-16650.764705882357</v>
      </c>
    </row>
    <row r="246" spans="1:19" x14ac:dyDescent="0.3">
      <c r="A246">
        <v>300</v>
      </c>
      <c r="B246" t="s">
        <v>16</v>
      </c>
      <c r="C246" t="s">
        <v>787</v>
      </c>
      <c r="D246" s="1" t="s">
        <v>788</v>
      </c>
      <c r="E246" t="s">
        <v>789</v>
      </c>
      <c r="F246" t="s">
        <v>20</v>
      </c>
      <c r="G246" t="s">
        <v>21</v>
      </c>
      <c r="H246" t="s">
        <v>790</v>
      </c>
      <c r="I246" t="s">
        <v>23</v>
      </c>
      <c r="J246" t="s">
        <v>24</v>
      </c>
      <c r="K246" s="1" t="s">
        <v>690</v>
      </c>
      <c r="L246" t="s">
        <v>26</v>
      </c>
      <c r="M246">
        <v>25604</v>
      </c>
      <c r="N246">
        <v>-1</v>
      </c>
      <c r="O246" s="2">
        <v>-62990</v>
      </c>
      <c r="P246" s="2">
        <v>34590</v>
      </c>
      <c r="Q246" s="4">
        <f t="shared" si="10"/>
        <v>-52932.773109243702</v>
      </c>
      <c r="R246" s="4">
        <f t="shared" si="11"/>
        <v>-34590</v>
      </c>
      <c r="S246" s="4">
        <f t="shared" si="12"/>
        <v>-18342.773109243702</v>
      </c>
    </row>
    <row r="247" spans="1:19" x14ac:dyDescent="0.3">
      <c r="A247">
        <v>300</v>
      </c>
      <c r="B247" t="s">
        <v>16</v>
      </c>
      <c r="C247" t="s">
        <v>791</v>
      </c>
      <c r="D247" s="1" t="s">
        <v>792</v>
      </c>
      <c r="E247" t="s">
        <v>793</v>
      </c>
      <c r="F247" t="s">
        <v>20</v>
      </c>
      <c r="G247" t="s">
        <v>21</v>
      </c>
      <c r="H247" t="s">
        <v>197</v>
      </c>
      <c r="I247" t="s">
        <v>23</v>
      </c>
      <c r="J247" t="s">
        <v>31</v>
      </c>
      <c r="K247" s="1" t="s">
        <v>690</v>
      </c>
      <c r="L247" t="s">
        <v>26</v>
      </c>
      <c r="M247">
        <v>25605</v>
      </c>
      <c r="N247">
        <v>-1</v>
      </c>
      <c r="O247" s="2">
        <v>-34990</v>
      </c>
      <c r="P247" s="2">
        <v>22549</v>
      </c>
      <c r="Q247" s="4">
        <f t="shared" si="10"/>
        <v>-29403.361344537818</v>
      </c>
      <c r="R247" s="4">
        <f t="shared" si="11"/>
        <v>-22549</v>
      </c>
      <c r="S247" s="4">
        <f t="shared" si="12"/>
        <v>-6854.3613445378178</v>
      </c>
    </row>
    <row r="248" spans="1:19" x14ac:dyDescent="0.3">
      <c r="A248">
        <v>300</v>
      </c>
      <c r="B248" t="s">
        <v>16</v>
      </c>
      <c r="C248" t="s">
        <v>794</v>
      </c>
      <c r="D248" s="1" t="s">
        <v>795</v>
      </c>
      <c r="E248" t="s">
        <v>796</v>
      </c>
      <c r="F248" t="s">
        <v>20</v>
      </c>
      <c r="G248" t="s">
        <v>21</v>
      </c>
      <c r="H248" t="s">
        <v>278</v>
      </c>
      <c r="I248" t="s">
        <v>23</v>
      </c>
      <c r="J248" t="s">
        <v>209</v>
      </c>
      <c r="K248" s="1" t="s">
        <v>690</v>
      </c>
      <c r="L248" t="s">
        <v>26</v>
      </c>
      <c r="M248">
        <v>25606</v>
      </c>
      <c r="N248">
        <v>-1</v>
      </c>
      <c r="O248" s="2">
        <v>-76989</v>
      </c>
      <c r="P248" s="2">
        <v>39936</v>
      </c>
      <c r="Q248" s="4">
        <f t="shared" si="10"/>
        <v>-64696.638655462186</v>
      </c>
      <c r="R248" s="4">
        <f t="shared" si="11"/>
        <v>-39936</v>
      </c>
      <c r="S248" s="4">
        <f t="shared" si="12"/>
        <v>-24760.638655462186</v>
      </c>
    </row>
    <row r="249" spans="1:19" x14ac:dyDescent="0.3">
      <c r="A249">
        <v>300</v>
      </c>
      <c r="B249" t="s">
        <v>16</v>
      </c>
      <c r="C249" t="s">
        <v>797</v>
      </c>
      <c r="D249" s="1" t="s">
        <v>798</v>
      </c>
      <c r="E249" t="s">
        <v>799</v>
      </c>
      <c r="F249" t="s">
        <v>20</v>
      </c>
      <c r="G249" t="s">
        <v>21</v>
      </c>
      <c r="H249" t="s">
        <v>253</v>
      </c>
      <c r="I249" t="s">
        <v>23</v>
      </c>
      <c r="J249" t="s">
        <v>49</v>
      </c>
      <c r="K249" s="1" t="s">
        <v>690</v>
      </c>
      <c r="L249" t="s">
        <v>26</v>
      </c>
      <c r="M249">
        <v>25607</v>
      </c>
      <c r="N249">
        <v>-1</v>
      </c>
      <c r="O249" s="2">
        <v>-39990</v>
      </c>
      <c r="P249" s="2">
        <v>24322</v>
      </c>
      <c r="Q249" s="4">
        <f t="shared" si="10"/>
        <v>-33605.042016806721</v>
      </c>
      <c r="R249" s="4">
        <f t="shared" si="11"/>
        <v>-24322</v>
      </c>
      <c r="S249" s="4">
        <f t="shared" si="12"/>
        <v>-9283.0420168067212</v>
      </c>
    </row>
    <row r="250" spans="1:19" x14ac:dyDescent="0.3">
      <c r="A250">
        <v>300</v>
      </c>
      <c r="B250" t="s">
        <v>16</v>
      </c>
      <c r="C250" t="s">
        <v>800</v>
      </c>
      <c r="D250" s="1" t="s">
        <v>801</v>
      </c>
      <c r="E250" t="s">
        <v>802</v>
      </c>
      <c r="F250" t="s">
        <v>20</v>
      </c>
      <c r="G250" t="s">
        <v>21</v>
      </c>
      <c r="H250" t="s">
        <v>803</v>
      </c>
      <c r="I250" t="s">
        <v>23</v>
      </c>
      <c r="J250" t="s">
        <v>49</v>
      </c>
      <c r="K250" s="1" t="s">
        <v>690</v>
      </c>
      <c r="L250" t="s">
        <v>26</v>
      </c>
      <c r="M250">
        <v>25608</v>
      </c>
      <c r="N250">
        <v>-1</v>
      </c>
      <c r="O250" s="2">
        <v>-41990</v>
      </c>
      <c r="P250" s="2">
        <v>27141</v>
      </c>
      <c r="Q250" s="4">
        <f t="shared" si="10"/>
        <v>-35285.71428571429</v>
      </c>
      <c r="R250" s="4">
        <f t="shared" si="11"/>
        <v>-27141</v>
      </c>
      <c r="S250" s="4">
        <f t="shared" si="12"/>
        <v>-8144.7142857142899</v>
      </c>
    </row>
    <row r="251" spans="1:19" x14ac:dyDescent="0.3">
      <c r="A251">
        <v>300</v>
      </c>
      <c r="B251" t="s">
        <v>16</v>
      </c>
      <c r="C251" t="s">
        <v>804</v>
      </c>
      <c r="D251" s="1" t="s">
        <v>805</v>
      </c>
      <c r="E251" t="s">
        <v>806</v>
      </c>
      <c r="F251" t="s">
        <v>20</v>
      </c>
      <c r="G251" t="s">
        <v>21</v>
      </c>
      <c r="H251" t="s">
        <v>85</v>
      </c>
      <c r="I251" t="s">
        <v>23</v>
      </c>
      <c r="J251" t="s">
        <v>44</v>
      </c>
      <c r="K251" s="1" t="s">
        <v>690</v>
      </c>
      <c r="L251" t="s">
        <v>26</v>
      </c>
      <c r="M251">
        <v>25609</v>
      </c>
      <c r="N251">
        <v>-1</v>
      </c>
      <c r="O251" s="2">
        <v>-34990</v>
      </c>
      <c r="P251" s="2">
        <v>22371</v>
      </c>
      <c r="Q251" s="4">
        <f t="shared" si="10"/>
        <v>-29403.361344537818</v>
      </c>
      <c r="R251" s="4">
        <f t="shared" si="11"/>
        <v>-22371</v>
      </c>
      <c r="S251" s="4">
        <f t="shared" si="12"/>
        <v>-7032.3613445378178</v>
      </c>
    </row>
    <row r="252" spans="1:19" x14ac:dyDescent="0.3">
      <c r="A252">
        <v>300</v>
      </c>
      <c r="B252" t="s">
        <v>16</v>
      </c>
      <c r="C252" t="s">
        <v>185</v>
      </c>
      <c r="D252" s="1" t="s">
        <v>186</v>
      </c>
      <c r="E252" t="s">
        <v>187</v>
      </c>
      <c r="F252" t="s">
        <v>20</v>
      </c>
      <c r="G252" t="s">
        <v>21</v>
      </c>
      <c r="H252" t="s">
        <v>188</v>
      </c>
      <c r="I252" t="s">
        <v>23</v>
      </c>
      <c r="J252" t="s">
        <v>44</v>
      </c>
      <c r="K252" s="1" t="s">
        <v>690</v>
      </c>
      <c r="L252" t="s">
        <v>26</v>
      </c>
      <c r="M252">
        <v>25610</v>
      </c>
      <c r="N252">
        <v>-1</v>
      </c>
      <c r="O252" s="2">
        <v>-48990</v>
      </c>
      <c r="P252" s="2">
        <v>28039</v>
      </c>
      <c r="Q252" s="4">
        <f t="shared" si="10"/>
        <v>-41168.067226890758</v>
      </c>
      <c r="R252" s="4">
        <f t="shared" si="11"/>
        <v>-28039</v>
      </c>
      <c r="S252" s="4">
        <f t="shared" si="12"/>
        <v>-13129.067226890758</v>
      </c>
    </row>
    <row r="253" spans="1:19" x14ac:dyDescent="0.3">
      <c r="A253">
        <v>300</v>
      </c>
      <c r="B253" t="s">
        <v>16</v>
      </c>
      <c r="C253" t="s">
        <v>807</v>
      </c>
      <c r="D253" s="1" t="s">
        <v>808</v>
      </c>
      <c r="E253" t="s">
        <v>809</v>
      </c>
      <c r="F253" t="s">
        <v>20</v>
      </c>
      <c r="G253" t="s">
        <v>21</v>
      </c>
      <c r="H253" t="s">
        <v>810</v>
      </c>
      <c r="I253" t="s">
        <v>23</v>
      </c>
      <c r="J253" t="s">
        <v>49</v>
      </c>
      <c r="K253" s="1" t="s">
        <v>690</v>
      </c>
      <c r="L253" t="s">
        <v>26</v>
      </c>
      <c r="M253">
        <v>25611</v>
      </c>
      <c r="N253">
        <v>-1</v>
      </c>
      <c r="O253" s="2">
        <v>-41990</v>
      </c>
      <c r="P253" s="2">
        <v>24354</v>
      </c>
      <c r="Q253" s="4">
        <f t="shared" si="10"/>
        <v>-35285.71428571429</v>
      </c>
      <c r="R253" s="4">
        <f t="shared" si="11"/>
        <v>-24354</v>
      </c>
      <c r="S253" s="4">
        <f t="shared" si="12"/>
        <v>-10931.71428571429</v>
      </c>
    </row>
    <row r="254" spans="1:19" x14ac:dyDescent="0.3">
      <c r="A254">
        <v>300</v>
      </c>
      <c r="B254" t="s">
        <v>16</v>
      </c>
      <c r="C254" t="s">
        <v>811</v>
      </c>
      <c r="D254" s="1" t="s">
        <v>812</v>
      </c>
      <c r="E254" t="s">
        <v>813</v>
      </c>
      <c r="F254" t="s">
        <v>20</v>
      </c>
      <c r="G254" t="s">
        <v>21</v>
      </c>
      <c r="H254" t="s">
        <v>378</v>
      </c>
      <c r="I254" t="s">
        <v>23</v>
      </c>
      <c r="J254" t="s">
        <v>65</v>
      </c>
      <c r="K254" s="1" t="s">
        <v>690</v>
      </c>
      <c r="L254" t="s">
        <v>26</v>
      </c>
      <c r="M254">
        <v>25612</v>
      </c>
      <c r="N254">
        <v>-1</v>
      </c>
      <c r="O254" s="2">
        <v>-29990</v>
      </c>
      <c r="P254" s="2">
        <v>17994</v>
      </c>
      <c r="Q254" s="4">
        <f t="shared" si="10"/>
        <v>-25201.680672268907</v>
      </c>
      <c r="R254" s="4">
        <f t="shared" si="11"/>
        <v>-17994</v>
      </c>
      <c r="S254" s="4">
        <f t="shared" si="12"/>
        <v>-7207.6806722689071</v>
      </c>
    </row>
    <row r="255" spans="1:19" x14ac:dyDescent="0.3">
      <c r="A255">
        <v>300</v>
      </c>
      <c r="B255" t="s">
        <v>16</v>
      </c>
      <c r="C255" t="s">
        <v>814</v>
      </c>
      <c r="D255" s="1" t="s">
        <v>815</v>
      </c>
      <c r="E255" t="s">
        <v>816</v>
      </c>
      <c r="F255" t="s">
        <v>20</v>
      </c>
      <c r="G255" t="s">
        <v>21</v>
      </c>
      <c r="H255" t="s">
        <v>817</v>
      </c>
      <c r="I255" t="s">
        <v>23</v>
      </c>
      <c r="J255" t="s">
        <v>65</v>
      </c>
      <c r="K255" s="1" t="s">
        <v>690</v>
      </c>
      <c r="L255" t="s">
        <v>26</v>
      </c>
      <c r="M255">
        <v>25613</v>
      </c>
      <c r="N255">
        <v>-1</v>
      </c>
      <c r="O255" s="2">
        <v>-49990</v>
      </c>
      <c r="P255" s="2">
        <v>28049</v>
      </c>
      <c r="Q255" s="4">
        <f t="shared" si="10"/>
        <v>-42008.403361344543</v>
      </c>
      <c r="R255" s="4">
        <f t="shared" si="11"/>
        <v>-28049</v>
      </c>
      <c r="S255" s="4">
        <f t="shared" si="12"/>
        <v>-13959.403361344543</v>
      </c>
    </row>
    <row r="256" spans="1:19" x14ac:dyDescent="0.3">
      <c r="A256">
        <v>300</v>
      </c>
      <c r="B256" t="s">
        <v>16</v>
      </c>
      <c r="C256" t="s">
        <v>818</v>
      </c>
      <c r="D256" s="1" t="s">
        <v>819</v>
      </c>
      <c r="E256" t="s">
        <v>820</v>
      </c>
      <c r="F256" t="s">
        <v>20</v>
      </c>
      <c r="G256" t="s">
        <v>21</v>
      </c>
      <c r="H256" t="s">
        <v>821</v>
      </c>
      <c r="I256" t="s">
        <v>23</v>
      </c>
      <c r="J256" t="s">
        <v>24</v>
      </c>
      <c r="K256" s="1" t="s">
        <v>690</v>
      </c>
      <c r="L256" t="s">
        <v>26</v>
      </c>
      <c r="M256">
        <v>25614</v>
      </c>
      <c r="N256">
        <v>-1</v>
      </c>
      <c r="O256" s="2">
        <v>-69990</v>
      </c>
      <c r="P256" s="2">
        <v>30957</v>
      </c>
      <c r="Q256" s="4">
        <f t="shared" si="10"/>
        <v>-58815.126050420171</v>
      </c>
      <c r="R256" s="4">
        <f t="shared" si="11"/>
        <v>-30957</v>
      </c>
      <c r="S256" s="4">
        <f t="shared" si="12"/>
        <v>-27858.126050420171</v>
      </c>
    </row>
    <row r="257" spans="1:19" x14ac:dyDescent="0.3">
      <c r="A257">
        <v>300</v>
      </c>
      <c r="B257" t="s">
        <v>16</v>
      </c>
      <c r="C257" t="s">
        <v>822</v>
      </c>
      <c r="D257" s="1" t="s">
        <v>823</v>
      </c>
      <c r="E257" t="s">
        <v>816</v>
      </c>
      <c r="F257" t="s">
        <v>20</v>
      </c>
      <c r="G257" t="s">
        <v>21</v>
      </c>
      <c r="H257" t="s">
        <v>817</v>
      </c>
      <c r="I257" t="s">
        <v>23</v>
      </c>
      <c r="J257" t="s">
        <v>65</v>
      </c>
      <c r="K257" s="1" t="s">
        <v>690</v>
      </c>
      <c r="L257" t="s">
        <v>26</v>
      </c>
      <c r="M257">
        <v>25615</v>
      </c>
      <c r="N257">
        <v>-1</v>
      </c>
      <c r="O257" s="2">
        <v>-49990</v>
      </c>
      <c r="P257" s="2">
        <v>28049</v>
      </c>
      <c r="Q257" s="4">
        <f t="shared" si="10"/>
        <v>-42008.403361344543</v>
      </c>
      <c r="R257" s="4">
        <f t="shared" si="11"/>
        <v>-28049</v>
      </c>
      <c r="S257" s="4">
        <f t="shared" si="12"/>
        <v>-13959.403361344543</v>
      </c>
    </row>
    <row r="258" spans="1:19" x14ac:dyDescent="0.3">
      <c r="A258">
        <v>300</v>
      </c>
      <c r="B258" t="s">
        <v>16</v>
      </c>
      <c r="C258" t="s">
        <v>824</v>
      </c>
      <c r="D258" s="1" t="s">
        <v>825</v>
      </c>
      <c r="E258" t="s">
        <v>826</v>
      </c>
      <c r="F258" t="s">
        <v>20</v>
      </c>
      <c r="G258" t="s">
        <v>21</v>
      </c>
      <c r="H258" t="s">
        <v>282</v>
      </c>
      <c r="I258" t="s">
        <v>23</v>
      </c>
      <c r="J258" t="s">
        <v>31</v>
      </c>
      <c r="K258" s="1" t="s">
        <v>690</v>
      </c>
      <c r="L258" t="s">
        <v>26</v>
      </c>
      <c r="M258">
        <v>25616</v>
      </c>
      <c r="N258">
        <v>-1</v>
      </c>
      <c r="O258" s="2">
        <v>-44990</v>
      </c>
      <c r="P258" s="2">
        <v>22525</v>
      </c>
      <c r="Q258" s="4">
        <f t="shared" si="10"/>
        <v>-37806.722689075636</v>
      </c>
      <c r="R258" s="4">
        <f t="shared" si="11"/>
        <v>-22525</v>
      </c>
      <c r="S258" s="4">
        <f t="shared" si="12"/>
        <v>-15281.722689075636</v>
      </c>
    </row>
    <row r="259" spans="1:19" x14ac:dyDescent="0.3">
      <c r="A259">
        <v>300</v>
      </c>
      <c r="B259" t="s">
        <v>16</v>
      </c>
      <c r="C259" t="s">
        <v>827</v>
      </c>
      <c r="D259" s="1" t="s">
        <v>828</v>
      </c>
      <c r="E259" t="s">
        <v>42</v>
      </c>
      <c r="F259" t="s">
        <v>20</v>
      </c>
      <c r="G259" t="s">
        <v>21</v>
      </c>
      <c r="H259" t="s">
        <v>43</v>
      </c>
      <c r="I259" t="s">
        <v>23</v>
      </c>
      <c r="J259" t="s">
        <v>44</v>
      </c>
      <c r="K259" s="1" t="s">
        <v>690</v>
      </c>
      <c r="L259" t="s">
        <v>26</v>
      </c>
      <c r="M259">
        <v>25617</v>
      </c>
      <c r="N259">
        <v>-1</v>
      </c>
      <c r="O259" s="2">
        <v>-30990</v>
      </c>
      <c r="P259" s="2">
        <v>20612</v>
      </c>
      <c r="Q259" s="4">
        <f t="shared" si="10"/>
        <v>-26042.016806722691</v>
      </c>
      <c r="R259" s="4">
        <f t="shared" si="11"/>
        <v>-20612</v>
      </c>
      <c r="S259" s="4">
        <f t="shared" si="12"/>
        <v>-5430.0168067226914</v>
      </c>
    </row>
    <row r="260" spans="1:19" x14ac:dyDescent="0.3">
      <c r="A260">
        <v>300</v>
      </c>
      <c r="B260" t="s">
        <v>16</v>
      </c>
      <c r="C260" t="s">
        <v>829</v>
      </c>
      <c r="D260" s="1" t="s">
        <v>830</v>
      </c>
      <c r="E260" t="s">
        <v>831</v>
      </c>
      <c r="F260" t="s">
        <v>20</v>
      </c>
      <c r="G260" t="s">
        <v>21</v>
      </c>
      <c r="H260" t="s">
        <v>343</v>
      </c>
      <c r="I260" t="s">
        <v>23</v>
      </c>
      <c r="J260" t="s">
        <v>49</v>
      </c>
      <c r="K260" s="1" t="s">
        <v>690</v>
      </c>
      <c r="L260" t="s">
        <v>26</v>
      </c>
      <c r="M260">
        <v>25618</v>
      </c>
      <c r="N260">
        <v>-1</v>
      </c>
      <c r="O260" s="2">
        <v>-41990</v>
      </c>
      <c r="P260" s="2">
        <v>17688</v>
      </c>
      <c r="Q260" s="4">
        <f t="shared" si="10"/>
        <v>-35285.71428571429</v>
      </c>
      <c r="R260" s="4">
        <f t="shared" si="11"/>
        <v>-17688</v>
      </c>
      <c r="S260" s="4">
        <f t="shared" si="12"/>
        <v>-17597.71428571429</v>
      </c>
    </row>
    <row r="261" spans="1:19" x14ac:dyDescent="0.3">
      <c r="A261">
        <v>300</v>
      </c>
      <c r="B261" t="s">
        <v>16</v>
      </c>
      <c r="C261" t="s">
        <v>832</v>
      </c>
      <c r="D261" s="1" t="s">
        <v>833</v>
      </c>
      <c r="E261" t="s">
        <v>758</v>
      </c>
      <c r="F261" t="s">
        <v>20</v>
      </c>
      <c r="G261" t="s">
        <v>21</v>
      </c>
      <c r="H261" t="s">
        <v>631</v>
      </c>
      <c r="I261" t="s">
        <v>23</v>
      </c>
      <c r="J261" t="s">
        <v>49</v>
      </c>
      <c r="K261" s="1" t="s">
        <v>690</v>
      </c>
      <c r="L261" t="s">
        <v>26</v>
      </c>
      <c r="M261">
        <v>25619</v>
      </c>
      <c r="N261">
        <v>-1</v>
      </c>
      <c r="O261" s="2">
        <v>-39990</v>
      </c>
      <c r="P261" s="2">
        <v>25828</v>
      </c>
      <c r="Q261" s="4">
        <f t="shared" ref="Q261:Q324" si="13">O261/1.19</f>
        <v>-33605.042016806721</v>
      </c>
      <c r="R261" s="4">
        <f t="shared" ref="R261:R324" si="14">N261*P261</f>
        <v>-25828</v>
      </c>
      <c r="S261" s="4">
        <f t="shared" ref="S261:S324" si="15">Q261-R261</f>
        <v>-7777.0420168067212</v>
      </c>
    </row>
    <row r="262" spans="1:19" x14ac:dyDescent="0.3">
      <c r="A262">
        <v>300</v>
      </c>
      <c r="B262" t="s">
        <v>16</v>
      </c>
      <c r="C262" t="s">
        <v>834</v>
      </c>
      <c r="D262" s="1" t="s">
        <v>835</v>
      </c>
      <c r="E262" t="s">
        <v>836</v>
      </c>
      <c r="F262" t="s">
        <v>20</v>
      </c>
      <c r="G262" t="s">
        <v>21</v>
      </c>
      <c r="H262" t="s">
        <v>803</v>
      </c>
      <c r="I262" t="s">
        <v>23</v>
      </c>
      <c r="J262" t="s">
        <v>49</v>
      </c>
      <c r="K262" s="1" t="s">
        <v>690</v>
      </c>
      <c r="L262" t="s">
        <v>26</v>
      </c>
      <c r="M262">
        <v>25620</v>
      </c>
      <c r="N262">
        <v>-1</v>
      </c>
      <c r="O262" s="2">
        <v>-48990</v>
      </c>
      <c r="P262" s="2">
        <v>26658</v>
      </c>
      <c r="Q262" s="4">
        <f t="shared" si="13"/>
        <v>-41168.067226890758</v>
      </c>
      <c r="R262" s="4">
        <f t="shared" si="14"/>
        <v>-26658</v>
      </c>
      <c r="S262" s="4">
        <f t="shared" si="15"/>
        <v>-14510.067226890758</v>
      </c>
    </row>
    <row r="263" spans="1:19" x14ac:dyDescent="0.3">
      <c r="A263">
        <v>300</v>
      </c>
      <c r="B263" t="s">
        <v>16</v>
      </c>
      <c r="C263" t="s">
        <v>837</v>
      </c>
      <c r="D263" s="1" t="s">
        <v>838</v>
      </c>
      <c r="E263" t="s">
        <v>839</v>
      </c>
      <c r="F263" t="s">
        <v>20</v>
      </c>
      <c r="G263" t="s">
        <v>21</v>
      </c>
      <c r="H263" t="s">
        <v>328</v>
      </c>
      <c r="I263" t="s">
        <v>23</v>
      </c>
      <c r="J263" t="s">
        <v>49</v>
      </c>
      <c r="K263" s="1" t="s">
        <v>690</v>
      </c>
      <c r="L263" t="s">
        <v>26</v>
      </c>
      <c r="M263">
        <v>25621</v>
      </c>
      <c r="N263">
        <v>-1</v>
      </c>
      <c r="O263" s="2">
        <v>-59990</v>
      </c>
      <c r="P263" s="2">
        <v>28580</v>
      </c>
      <c r="Q263" s="4">
        <f t="shared" si="13"/>
        <v>-50411.764705882357</v>
      </c>
      <c r="R263" s="4">
        <f t="shared" si="14"/>
        <v>-28580</v>
      </c>
      <c r="S263" s="4">
        <f t="shared" si="15"/>
        <v>-21831.764705882357</v>
      </c>
    </row>
    <row r="264" spans="1:19" x14ac:dyDescent="0.3">
      <c r="A264">
        <v>300</v>
      </c>
      <c r="B264" t="s">
        <v>16</v>
      </c>
      <c r="C264" t="s">
        <v>840</v>
      </c>
      <c r="D264" s="1" t="s">
        <v>841</v>
      </c>
      <c r="E264" t="s">
        <v>842</v>
      </c>
      <c r="F264" t="s">
        <v>20</v>
      </c>
      <c r="G264" t="s">
        <v>21</v>
      </c>
      <c r="H264" t="s">
        <v>733</v>
      </c>
      <c r="I264" t="s">
        <v>23</v>
      </c>
      <c r="J264" t="s">
        <v>24</v>
      </c>
      <c r="K264" s="1" t="s">
        <v>690</v>
      </c>
      <c r="L264" t="s">
        <v>26</v>
      </c>
      <c r="M264">
        <v>25622</v>
      </c>
      <c r="N264">
        <v>-1</v>
      </c>
      <c r="O264" s="2">
        <v>-49990</v>
      </c>
      <c r="P264" s="2">
        <v>36232</v>
      </c>
      <c r="Q264" s="4">
        <f t="shared" si="13"/>
        <v>-42008.403361344543</v>
      </c>
      <c r="R264" s="4">
        <f t="shared" si="14"/>
        <v>-36232</v>
      </c>
      <c r="S264" s="4">
        <f t="shared" si="15"/>
        <v>-5776.4033613445426</v>
      </c>
    </row>
    <row r="265" spans="1:19" x14ac:dyDescent="0.3">
      <c r="A265">
        <v>300</v>
      </c>
      <c r="B265" t="s">
        <v>16</v>
      </c>
      <c r="C265" t="s">
        <v>612</v>
      </c>
      <c r="D265" s="1" t="s">
        <v>613</v>
      </c>
      <c r="E265" t="s">
        <v>614</v>
      </c>
      <c r="F265" t="s">
        <v>20</v>
      </c>
      <c r="G265" t="s">
        <v>21</v>
      </c>
      <c r="H265" t="s">
        <v>615</v>
      </c>
      <c r="I265" t="s">
        <v>23</v>
      </c>
      <c r="J265" t="s">
        <v>65</v>
      </c>
      <c r="K265" s="1" t="s">
        <v>690</v>
      </c>
      <c r="L265" t="s">
        <v>26</v>
      </c>
      <c r="M265">
        <v>25623</v>
      </c>
      <c r="N265">
        <v>-1</v>
      </c>
      <c r="O265" s="2">
        <v>-29990</v>
      </c>
      <c r="P265" s="2">
        <v>20415</v>
      </c>
      <c r="Q265" s="4">
        <f t="shared" si="13"/>
        <v>-25201.680672268907</v>
      </c>
      <c r="R265" s="4">
        <f t="shared" si="14"/>
        <v>-20415</v>
      </c>
      <c r="S265" s="4">
        <f t="shared" si="15"/>
        <v>-4786.6806722689071</v>
      </c>
    </row>
    <row r="266" spans="1:19" x14ac:dyDescent="0.3">
      <c r="A266">
        <v>300</v>
      </c>
      <c r="B266" t="s">
        <v>16</v>
      </c>
      <c r="C266" t="s">
        <v>719</v>
      </c>
      <c r="D266" s="1" t="s">
        <v>720</v>
      </c>
      <c r="E266" t="s">
        <v>721</v>
      </c>
      <c r="F266" t="s">
        <v>20</v>
      </c>
      <c r="G266" t="s">
        <v>21</v>
      </c>
      <c r="H266" t="s">
        <v>631</v>
      </c>
      <c r="I266" t="s">
        <v>23</v>
      </c>
      <c r="J266" t="s">
        <v>49</v>
      </c>
      <c r="K266" s="1" t="s">
        <v>690</v>
      </c>
      <c r="L266" t="s">
        <v>26</v>
      </c>
      <c r="M266">
        <v>25624</v>
      </c>
      <c r="N266">
        <v>-1</v>
      </c>
      <c r="O266" s="2">
        <v>-39990</v>
      </c>
      <c r="P266" s="2">
        <v>24912</v>
      </c>
      <c r="Q266" s="4">
        <f t="shared" si="13"/>
        <v>-33605.042016806721</v>
      </c>
      <c r="R266" s="4">
        <f t="shared" si="14"/>
        <v>-24912</v>
      </c>
      <c r="S266" s="4">
        <f t="shared" si="15"/>
        <v>-8693.0420168067212</v>
      </c>
    </row>
    <row r="267" spans="1:19" x14ac:dyDescent="0.3">
      <c r="A267">
        <v>300</v>
      </c>
      <c r="B267" t="s">
        <v>16</v>
      </c>
      <c r="C267" t="s">
        <v>843</v>
      </c>
      <c r="D267" s="1" t="s">
        <v>844</v>
      </c>
      <c r="E267" t="s">
        <v>845</v>
      </c>
      <c r="F267" t="s">
        <v>20</v>
      </c>
      <c r="G267" t="s">
        <v>21</v>
      </c>
      <c r="H267" t="s">
        <v>631</v>
      </c>
      <c r="I267" t="s">
        <v>23</v>
      </c>
      <c r="J267" t="s">
        <v>49</v>
      </c>
      <c r="K267" s="1" t="s">
        <v>690</v>
      </c>
      <c r="L267" t="s">
        <v>26</v>
      </c>
      <c r="M267">
        <v>25625</v>
      </c>
      <c r="N267">
        <v>-1</v>
      </c>
      <c r="O267" s="2">
        <v>-39990</v>
      </c>
      <c r="P267" s="2">
        <v>28069</v>
      </c>
      <c r="Q267" s="4">
        <f t="shared" si="13"/>
        <v>-33605.042016806721</v>
      </c>
      <c r="R267" s="4">
        <f t="shared" si="14"/>
        <v>-28069</v>
      </c>
      <c r="S267" s="4">
        <f t="shared" si="15"/>
        <v>-5536.0420168067212</v>
      </c>
    </row>
    <row r="268" spans="1:19" x14ac:dyDescent="0.3">
      <c r="A268">
        <v>300</v>
      </c>
      <c r="B268" t="s">
        <v>16</v>
      </c>
      <c r="C268" t="s">
        <v>846</v>
      </c>
      <c r="D268" s="1" t="s">
        <v>847</v>
      </c>
      <c r="E268" t="s">
        <v>524</v>
      </c>
      <c r="F268" t="s">
        <v>20</v>
      </c>
      <c r="G268" t="s">
        <v>21</v>
      </c>
      <c r="H268" t="s">
        <v>253</v>
      </c>
      <c r="I268" t="s">
        <v>23</v>
      </c>
      <c r="J268" t="s">
        <v>49</v>
      </c>
      <c r="K268" s="1" t="s">
        <v>690</v>
      </c>
      <c r="L268" t="s">
        <v>26</v>
      </c>
      <c r="M268">
        <v>25626</v>
      </c>
      <c r="N268">
        <v>-1</v>
      </c>
      <c r="O268" s="2">
        <v>-39990</v>
      </c>
      <c r="P268" s="2">
        <v>22253</v>
      </c>
      <c r="Q268" s="4">
        <f t="shared" si="13"/>
        <v>-33605.042016806721</v>
      </c>
      <c r="R268" s="4">
        <f t="shared" si="14"/>
        <v>-22253</v>
      </c>
      <c r="S268" s="4">
        <f t="shared" si="15"/>
        <v>-11352.042016806721</v>
      </c>
    </row>
    <row r="269" spans="1:19" x14ac:dyDescent="0.3">
      <c r="A269">
        <v>300</v>
      </c>
      <c r="B269" t="s">
        <v>16</v>
      </c>
      <c r="C269" t="s">
        <v>848</v>
      </c>
      <c r="D269" s="1" t="s">
        <v>849</v>
      </c>
      <c r="E269" t="s">
        <v>850</v>
      </c>
      <c r="F269" t="s">
        <v>20</v>
      </c>
      <c r="G269" t="s">
        <v>21</v>
      </c>
      <c r="H269" t="s">
        <v>551</v>
      </c>
      <c r="I269" t="s">
        <v>23</v>
      </c>
      <c r="J269" t="s">
        <v>49</v>
      </c>
      <c r="K269" s="1" t="s">
        <v>690</v>
      </c>
      <c r="L269" t="s">
        <v>26</v>
      </c>
      <c r="M269">
        <v>25627</v>
      </c>
      <c r="N269">
        <v>-1</v>
      </c>
      <c r="O269" s="2">
        <v>-39990</v>
      </c>
      <c r="P269" s="2">
        <v>25157</v>
      </c>
      <c r="Q269" s="4">
        <f t="shared" si="13"/>
        <v>-33605.042016806721</v>
      </c>
      <c r="R269" s="4">
        <f t="shared" si="14"/>
        <v>-25157</v>
      </c>
      <c r="S269" s="4">
        <f t="shared" si="15"/>
        <v>-8448.0420168067212</v>
      </c>
    </row>
    <row r="270" spans="1:19" x14ac:dyDescent="0.3">
      <c r="A270">
        <v>300</v>
      </c>
      <c r="B270" t="s">
        <v>16</v>
      </c>
      <c r="C270" t="s">
        <v>851</v>
      </c>
      <c r="D270" s="1" t="s">
        <v>852</v>
      </c>
      <c r="E270" t="s">
        <v>432</v>
      </c>
      <c r="F270" t="s">
        <v>20</v>
      </c>
      <c r="G270" t="s">
        <v>21</v>
      </c>
      <c r="H270" t="s">
        <v>361</v>
      </c>
      <c r="I270" t="s">
        <v>23</v>
      </c>
      <c r="J270" t="s">
        <v>49</v>
      </c>
      <c r="K270" s="1" t="s">
        <v>690</v>
      </c>
      <c r="L270" t="s">
        <v>26</v>
      </c>
      <c r="M270">
        <v>25628</v>
      </c>
      <c r="N270">
        <v>-1</v>
      </c>
      <c r="O270" s="2">
        <v>-51990</v>
      </c>
      <c r="P270" s="2">
        <v>27664</v>
      </c>
      <c r="Q270" s="4">
        <f t="shared" si="13"/>
        <v>-43689.075630252104</v>
      </c>
      <c r="R270" s="4">
        <f t="shared" si="14"/>
        <v>-27664</v>
      </c>
      <c r="S270" s="4">
        <f t="shared" si="15"/>
        <v>-16025.075630252104</v>
      </c>
    </row>
    <row r="271" spans="1:19" x14ac:dyDescent="0.3">
      <c r="A271">
        <v>300</v>
      </c>
      <c r="B271" t="s">
        <v>16</v>
      </c>
      <c r="C271" t="s">
        <v>853</v>
      </c>
      <c r="D271" s="1" t="s">
        <v>854</v>
      </c>
      <c r="E271" t="s">
        <v>855</v>
      </c>
      <c r="F271" t="s">
        <v>20</v>
      </c>
      <c r="G271" t="s">
        <v>21</v>
      </c>
      <c r="H271" t="s">
        <v>856</v>
      </c>
      <c r="I271" t="s">
        <v>23</v>
      </c>
      <c r="J271" t="s">
        <v>44</v>
      </c>
      <c r="K271" s="1" t="s">
        <v>690</v>
      </c>
      <c r="L271" t="s">
        <v>26</v>
      </c>
      <c r="M271">
        <v>25629</v>
      </c>
      <c r="N271">
        <v>-1</v>
      </c>
      <c r="O271" s="2">
        <v>-51990</v>
      </c>
      <c r="P271" s="2">
        <v>35879</v>
      </c>
      <c r="Q271" s="4">
        <f t="shared" si="13"/>
        <v>-43689.075630252104</v>
      </c>
      <c r="R271" s="4">
        <f t="shared" si="14"/>
        <v>-35879</v>
      </c>
      <c r="S271" s="4">
        <f t="shared" si="15"/>
        <v>-7810.075630252104</v>
      </c>
    </row>
    <row r="272" spans="1:19" x14ac:dyDescent="0.3">
      <c r="A272">
        <v>300</v>
      </c>
      <c r="B272" t="s">
        <v>16</v>
      </c>
      <c r="C272" t="s">
        <v>857</v>
      </c>
      <c r="D272" s="1" t="s">
        <v>858</v>
      </c>
      <c r="E272" t="s">
        <v>252</v>
      </c>
      <c r="F272" t="s">
        <v>20</v>
      </c>
      <c r="G272" t="s">
        <v>21</v>
      </c>
      <c r="H272" t="s">
        <v>253</v>
      </c>
      <c r="I272" t="s">
        <v>23</v>
      </c>
      <c r="J272" t="s">
        <v>49</v>
      </c>
      <c r="K272" s="1" t="s">
        <v>690</v>
      </c>
      <c r="L272" t="s">
        <v>26</v>
      </c>
      <c r="M272">
        <v>25630</v>
      </c>
      <c r="N272">
        <v>-1</v>
      </c>
      <c r="O272" s="2">
        <v>-38990</v>
      </c>
      <c r="P272" s="2">
        <v>26199</v>
      </c>
      <c r="Q272" s="4">
        <f t="shared" si="13"/>
        <v>-32764.705882352944</v>
      </c>
      <c r="R272" s="4">
        <f t="shared" si="14"/>
        <v>-26199</v>
      </c>
      <c r="S272" s="4">
        <f t="shared" si="15"/>
        <v>-6565.7058823529442</v>
      </c>
    </row>
    <row r="273" spans="1:19" x14ac:dyDescent="0.3">
      <c r="A273">
        <v>300</v>
      </c>
      <c r="B273" t="s">
        <v>16</v>
      </c>
      <c r="C273" t="s">
        <v>859</v>
      </c>
      <c r="D273" s="1" t="s">
        <v>860</v>
      </c>
      <c r="E273" t="s">
        <v>861</v>
      </c>
      <c r="F273" t="s">
        <v>20</v>
      </c>
      <c r="G273" t="s">
        <v>21</v>
      </c>
      <c r="H273" t="s">
        <v>197</v>
      </c>
      <c r="I273" t="s">
        <v>23</v>
      </c>
      <c r="J273" t="s">
        <v>31</v>
      </c>
      <c r="K273" s="1" t="s">
        <v>690</v>
      </c>
      <c r="L273" t="s">
        <v>26</v>
      </c>
      <c r="M273">
        <v>25631</v>
      </c>
      <c r="N273">
        <v>-1</v>
      </c>
      <c r="O273" s="2">
        <v>-34990</v>
      </c>
      <c r="P273" s="2">
        <v>21705</v>
      </c>
      <c r="Q273" s="4">
        <f t="shared" si="13"/>
        <v>-29403.361344537818</v>
      </c>
      <c r="R273" s="4">
        <f t="shared" si="14"/>
        <v>-21705</v>
      </c>
      <c r="S273" s="4">
        <f t="shared" si="15"/>
        <v>-7698.3613445378178</v>
      </c>
    </row>
    <row r="274" spans="1:19" x14ac:dyDescent="0.3">
      <c r="A274">
        <v>300</v>
      </c>
      <c r="B274" t="s">
        <v>16</v>
      </c>
      <c r="C274" t="s">
        <v>862</v>
      </c>
      <c r="D274" s="1" t="s">
        <v>863</v>
      </c>
      <c r="E274" t="s">
        <v>665</v>
      </c>
      <c r="F274" t="s">
        <v>20</v>
      </c>
      <c r="G274" t="s">
        <v>21</v>
      </c>
      <c r="H274" t="s">
        <v>243</v>
      </c>
      <c r="I274" t="s">
        <v>23</v>
      </c>
      <c r="J274" t="s">
        <v>65</v>
      </c>
      <c r="K274" s="1" t="s">
        <v>690</v>
      </c>
      <c r="L274" t="s">
        <v>26</v>
      </c>
      <c r="M274">
        <v>25632</v>
      </c>
      <c r="N274">
        <v>-1</v>
      </c>
      <c r="O274" s="2">
        <v>-34990</v>
      </c>
      <c r="P274" s="2">
        <v>21072</v>
      </c>
      <c r="Q274" s="4">
        <f t="shared" si="13"/>
        <v>-29403.361344537818</v>
      </c>
      <c r="R274" s="4">
        <f t="shared" si="14"/>
        <v>-21072</v>
      </c>
      <c r="S274" s="4">
        <f t="shared" si="15"/>
        <v>-8331.3613445378178</v>
      </c>
    </row>
    <row r="275" spans="1:19" x14ac:dyDescent="0.3">
      <c r="A275">
        <v>300</v>
      </c>
      <c r="B275" t="s">
        <v>16</v>
      </c>
      <c r="C275" t="s">
        <v>864</v>
      </c>
      <c r="D275" s="1" t="s">
        <v>865</v>
      </c>
      <c r="E275" t="s">
        <v>586</v>
      </c>
      <c r="F275" t="s">
        <v>20</v>
      </c>
      <c r="G275" t="s">
        <v>21</v>
      </c>
      <c r="H275" t="s">
        <v>587</v>
      </c>
      <c r="I275" t="s">
        <v>23</v>
      </c>
      <c r="J275" t="s">
        <v>49</v>
      </c>
      <c r="K275" s="1" t="s">
        <v>690</v>
      </c>
      <c r="L275" t="s">
        <v>26</v>
      </c>
      <c r="M275">
        <v>25633</v>
      </c>
      <c r="N275">
        <v>-1</v>
      </c>
      <c r="O275" s="2">
        <v>-49990</v>
      </c>
      <c r="P275" s="2">
        <v>21838</v>
      </c>
      <c r="Q275" s="4">
        <f t="shared" si="13"/>
        <v>-42008.403361344543</v>
      </c>
      <c r="R275" s="4">
        <f t="shared" si="14"/>
        <v>-21838</v>
      </c>
      <c r="S275" s="4">
        <f t="shared" si="15"/>
        <v>-20170.403361344543</v>
      </c>
    </row>
    <row r="276" spans="1:19" x14ac:dyDescent="0.3">
      <c r="A276">
        <v>300</v>
      </c>
      <c r="B276" t="s">
        <v>16</v>
      </c>
      <c r="C276" t="s">
        <v>866</v>
      </c>
      <c r="D276" s="1" t="s">
        <v>867</v>
      </c>
      <c r="E276" t="s">
        <v>288</v>
      </c>
      <c r="F276" t="s">
        <v>20</v>
      </c>
      <c r="G276" t="s">
        <v>21</v>
      </c>
      <c r="H276" t="s">
        <v>289</v>
      </c>
      <c r="I276" t="s">
        <v>23</v>
      </c>
      <c r="J276" t="s">
        <v>65</v>
      </c>
      <c r="K276" s="1" t="s">
        <v>690</v>
      </c>
      <c r="L276" t="s">
        <v>26</v>
      </c>
      <c r="M276">
        <v>25634</v>
      </c>
      <c r="N276">
        <v>-1</v>
      </c>
      <c r="O276" s="2">
        <v>-34990</v>
      </c>
      <c r="P276" s="2">
        <v>28634</v>
      </c>
      <c r="Q276" s="4">
        <f t="shared" si="13"/>
        <v>-29403.361344537818</v>
      </c>
      <c r="R276" s="4">
        <f t="shared" si="14"/>
        <v>-28634</v>
      </c>
      <c r="S276" s="4">
        <f t="shared" si="15"/>
        <v>-769.36134453781779</v>
      </c>
    </row>
    <row r="277" spans="1:19" x14ac:dyDescent="0.3">
      <c r="A277">
        <v>300</v>
      </c>
      <c r="B277" t="s">
        <v>16</v>
      </c>
      <c r="C277" t="s">
        <v>868</v>
      </c>
      <c r="D277" s="1" t="s">
        <v>869</v>
      </c>
      <c r="E277" t="s">
        <v>870</v>
      </c>
      <c r="F277" t="s">
        <v>20</v>
      </c>
      <c r="G277" t="s">
        <v>21</v>
      </c>
      <c r="H277" t="s">
        <v>871</v>
      </c>
      <c r="I277" t="s">
        <v>23</v>
      </c>
      <c r="J277" t="s">
        <v>49</v>
      </c>
      <c r="K277" s="1" t="s">
        <v>690</v>
      </c>
      <c r="L277" t="s">
        <v>26</v>
      </c>
      <c r="M277">
        <v>25635</v>
      </c>
      <c r="N277">
        <v>-1</v>
      </c>
      <c r="O277" s="2">
        <v>-44990</v>
      </c>
      <c r="P277" s="2">
        <v>22368</v>
      </c>
      <c r="Q277" s="4">
        <f t="shared" si="13"/>
        <v>-37806.722689075636</v>
      </c>
      <c r="R277" s="4">
        <f t="shared" si="14"/>
        <v>-22368</v>
      </c>
      <c r="S277" s="4">
        <f t="shared" si="15"/>
        <v>-15438.722689075636</v>
      </c>
    </row>
    <row r="278" spans="1:19" x14ac:dyDescent="0.3">
      <c r="A278">
        <v>300</v>
      </c>
      <c r="B278" t="s">
        <v>16</v>
      </c>
      <c r="C278" t="s">
        <v>872</v>
      </c>
      <c r="D278" s="1" t="s">
        <v>873</v>
      </c>
      <c r="E278" t="s">
        <v>509</v>
      </c>
      <c r="F278" t="s">
        <v>20</v>
      </c>
      <c r="G278" t="s">
        <v>21</v>
      </c>
      <c r="H278" t="s">
        <v>510</v>
      </c>
      <c r="I278" t="s">
        <v>23</v>
      </c>
      <c r="J278" t="s">
        <v>65</v>
      </c>
      <c r="K278" s="1" t="s">
        <v>690</v>
      </c>
      <c r="L278" t="s">
        <v>26</v>
      </c>
      <c r="M278">
        <v>25636</v>
      </c>
      <c r="N278">
        <v>-1</v>
      </c>
      <c r="O278" s="2">
        <v>-37990</v>
      </c>
      <c r="P278" s="2">
        <v>17194</v>
      </c>
      <c r="Q278" s="4">
        <f t="shared" si="13"/>
        <v>-31924.36974789916</v>
      </c>
      <c r="R278" s="4">
        <f t="shared" si="14"/>
        <v>-17194</v>
      </c>
      <c r="S278" s="4">
        <f t="shared" si="15"/>
        <v>-14730.36974789916</v>
      </c>
    </row>
    <row r="279" spans="1:19" x14ac:dyDescent="0.3">
      <c r="A279">
        <v>300</v>
      </c>
      <c r="B279" t="s">
        <v>16</v>
      </c>
      <c r="C279" t="s">
        <v>874</v>
      </c>
      <c r="D279" s="1" t="s">
        <v>875</v>
      </c>
      <c r="E279" t="s">
        <v>876</v>
      </c>
      <c r="F279" t="s">
        <v>20</v>
      </c>
      <c r="G279" t="s">
        <v>21</v>
      </c>
      <c r="H279" t="s">
        <v>877</v>
      </c>
      <c r="I279" t="s">
        <v>23</v>
      </c>
      <c r="J279" t="s">
        <v>65</v>
      </c>
      <c r="K279" s="1" t="s">
        <v>690</v>
      </c>
      <c r="L279" t="s">
        <v>26</v>
      </c>
      <c r="M279">
        <v>25637</v>
      </c>
      <c r="N279">
        <v>-1</v>
      </c>
      <c r="O279" s="2">
        <v>-34990</v>
      </c>
      <c r="P279" s="2">
        <v>24159</v>
      </c>
      <c r="Q279" s="4">
        <f t="shared" si="13"/>
        <v>-29403.361344537818</v>
      </c>
      <c r="R279" s="4">
        <f t="shared" si="14"/>
        <v>-24159</v>
      </c>
      <c r="S279" s="4">
        <f t="shared" si="15"/>
        <v>-5244.3613445378178</v>
      </c>
    </row>
    <row r="280" spans="1:19" x14ac:dyDescent="0.3">
      <c r="A280">
        <v>300</v>
      </c>
      <c r="B280" t="s">
        <v>16</v>
      </c>
      <c r="C280" t="s">
        <v>878</v>
      </c>
      <c r="D280" s="1" t="s">
        <v>879</v>
      </c>
      <c r="E280" t="s">
        <v>880</v>
      </c>
      <c r="F280" t="s">
        <v>20</v>
      </c>
      <c r="G280" t="s">
        <v>21</v>
      </c>
      <c r="H280" t="s">
        <v>387</v>
      </c>
      <c r="I280" t="s">
        <v>23</v>
      </c>
      <c r="J280" t="s">
        <v>49</v>
      </c>
      <c r="K280" s="1" t="s">
        <v>690</v>
      </c>
      <c r="L280" t="s">
        <v>26</v>
      </c>
      <c r="M280">
        <v>25638</v>
      </c>
      <c r="N280">
        <v>-1</v>
      </c>
      <c r="O280" s="2">
        <v>-39990</v>
      </c>
      <c r="P280" s="2">
        <v>24530</v>
      </c>
      <c r="Q280" s="4">
        <f t="shared" si="13"/>
        <v>-33605.042016806721</v>
      </c>
      <c r="R280" s="4">
        <f t="shared" si="14"/>
        <v>-24530</v>
      </c>
      <c r="S280" s="4">
        <f t="shared" si="15"/>
        <v>-9075.0420168067212</v>
      </c>
    </row>
    <row r="281" spans="1:19" x14ac:dyDescent="0.3">
      <c r="A281">
        <v>300</v>
      </c>
      <c r="B281" t="s">
        <v>16</v>
      </c>
      <c r="C281" t="s">
        <v>759</v>
      </c>
      <c r="D281" s="1" t="s">
        <v>760</v>
      </c>
      <c r="E281" t="s">
        <v>761</v>
      </c>
      <c r="F281" t="s">
        <v>20</v>
      </c>
      <c r="G281" t="s">
        <v>21</v>
      </c>
      <c r="H281" t="s">
        <v>611</v>
      </c>
      <c r="I281" t="s">
        <v>23</v>
      </c>
      <c r="J281" t="s">
        <v>31</v>
      </c>
      <c r="K281" s="1" t="s">
        <v>690</v>
      </c>
      <c r="L281" t="s">
        <v>26</v>
      </c>
      <c r="M281">
        <v>25639</v>
      </c>
      <c r="N281">
        <v>-1</v>
      </c>
      <c r="O281" s="2">
        <v>-29990</v>
      </c>
      <c r="P281" s="2">
        <v>25042</v>
      </c>
      <c r="Q281" s="4">
        <f t="shared" si="13"/>
        <v>-25201.680672268907</v>
      </c>
      <c r="R281" s="4">
        <f t="shared" si="14"/>
        <v>-25042</v>
      </c>
      <c r="S281" s="4">
        <f t="shared" si="15"/>
        <v>-159.68067226890707</v>
      </c>
    </row>
    <row r="282" spans="1:19" x14ac:dyDescent="0.3">
      <c r="A282">
        <v>300</v>
      </c>
      <c r="B282" t="s">
        <v>16</v>
      </c>
      <c r="C282" t="s">
        <v>881</v>
      </c>
      <c r="D282" s="1" t="s">
        <v>882</v>
      </c>
      <c r="E282" t="s">
        <v>883</v>
      </c>
      <c r="F282" t="s">
        <v>20</v>
      </c>
      <c r="G282" t="s">
        <v>21</v>
      </c>
      <c r="H282" t="s">
        <v>884</v>
      </c>
      <c r="I282" t="s">
        <v>23</v>
      </c>
      <c r="J282" t="s">
        <v>294</v>
      </c>
      <c r="K282" s="1" t="s">
        <v>690</v>
      </c>
      <c r="L282" t="s">
        <v>26</v>
      </c>
      <c r="M282">
        <v>25640</v>
      </c>
      <c r="N282">
        <v>-1</v>
      </c>
      <c r="O282" s="2">
        <v>-29990</v>
      </c>
      <c r="P282" s="2">
        <v>19199</v>
      </c>
      <c r="Q282" s="4">
        <f t="shared" si="13"/>
        <v>-25201.680672268907</v>
      </c>
      <c r="R282" s="4">
        <f t="shared" si="14"/>
        <v>-19199</v>
      </c>
      <c r="S282" s="4">
        <f t="shared" si="15"/>
        <v>-6002.6806722689071</v>
      </c>
    </row>
    <row r="283" spans="1:19" x14ac:dyDescent="0.3">
      <c r="A283">
        <v>300</v>
      </c>
      <c r="B283" t="s">
        <v>16</v>
      </c>
      <c r="C283" t="s">
        <v>885</v>
      </c>
      <c r="D283" s="1" t="s">
        <v>886</v>
      </c>
      <c r="E283" t="s">
        <v>887</v>
      </c>
      <c r="F283" t="s">
        <v>20</v>
      </c>
      <c r="G283" t="s">
        <v>21</v>
      </c>
      <c r="H283" t="s">
        <v>884</v>
      </c>
      <c r="I283" t="s">
        <v>23</v>
      </c>
      <c r="J283" t="s">
        <v>294</v>
      </c>
      <c r="K283" s="1" t="s">
        <v>690</v>
      </c>
      <c r="L283" t="s">
        <v>26</v>
      </c>
      <c r="M283">
        <v>25641</v>
      </c>
      <c r="N283">
        <v>-1</v>
      </c>
      <c r="O283" s="2">
        <v>-29990</v>
      </c>
      <c r="P283" s="2">
        <v>19878</v>
      </c>
      <c r="Q283" s="4">
        <f t="shared" si="13"/>
        <v>-25201.680672268907</v>
      </c>
      <c r="R283" s="4">
        <f t="shared" si="14"/>
        <v>-19878</v>
      </c>
      <c r="S283" s="4">
        <f t="shared" si="15"/>
        <v>-5323.6806722689071</v>
      </c>
    </row>
    <row r="284" spans="1:19" x14ac:dyDescent="0.3">
      <c r="A284">
        <v>300</v>
      </c>
      <c r="B284" t="s">
        <v>16</v>
      </c>
      <c r="C284" t="s">
        <v>888</v>
      </c>
      <c r="D284" s="1" t="s">
        <v>889</v>
      </c>
      <c r="E284" t="s">
        <v>890</v>
      </c>
      <c r="F284" t="s">
        <v>20</v>
      </c>
      <c r="G284" t="s">
        <v>21</v>
      </c>
      <c r="H284" t="s">
        <v>521</v>
      </c>
      <c r="I284" t="s">
        <v>23</v>
      </c>
      <c r="J284" t="s">
        <v>65</v>
      </c>
      <c r="K284" s="1" t="s">
        <v>690</v>
      </c>
      <c r="L284" t="s">
        <v>26</v>
      </c>
      <c r="M284">
        <v>25642</v>
      </c>
      <c r="N284">
        <v>-1</v>
      </c>
      <c r="O284" s="2">
        <v>-49990</v>
      </c>
      <c r="P284" s="2">
        <v>20043</v>
      </c>
      <c r="Q284" s="4">
        <f t="shared" si="13"/>
        <v>-42008.403361344543</v>
      </c>
      <c r="R284" s="4">
        <f t="shared" si="14"/>
        <v>-20043</v>
      </c>
      <c r="S284" s="4">
        <f t="shared" si="15"/>
        <v>-21965.403361344543</v>
      </c>
    </row>
    <row r="285" spans="1:19" x14ac:dyDescent="0.3">
      <c r="A285">
        <v>300</v>
      </c>
      <c r="B285" t="s">
        <v>16</v>
      </c>
      <c r="C285">
        <v>999999</v>
      </c>
      <c r="D285" s="1" t="s">
        <v>86</v>
      </c>
      <c r="E285" t="s">
        <v>87</v>
      </c>
      <c r="F285" t="s">
        <v>88</v>
      </c>
      <c r="G285" t="s">
        <v>88</v>
      </c>
      <c r="H285" t="s">
        <v>88</v>
      </c>
      <c r="I285" t="s">
        <v>23</v>
      </c>
      <c r="J285" t="s">
        <v>88</v>
      </c>
      <c r="K285" s="1" t="s">
        <v>891</v>
      </c>
      <c r="L285" t="s">
        <v>26</v>
      </c>
      <c r="M285">
        <v>25643</v>
      </c>
      <c r="N285">
        <v>-1</v>
      </c>
      <c r="O285" s="2">
        <v>-4423329</v>
      </c>
      <c r="P285">
        <v>1</v>
      </c>
      <c r="Q285" s="4">
        <f t="shared" si="13"/>
        <v>-3717083.193277311</v>
      </c>
      <c r="R285" s="4">
        <f t="shared" si="14"/>
        <v>-1</v>
      </c>
      <c r="S285" s="4">
        <f t="shared" si="15"/>
        <v>-3717082.193277311</v>
      </c>
    </row>
    <row r="286" spans="1:19" x14ac:dyDescent="0.3">
      <c r="A286">
        <v>300</v>
      </c>
      <c r="B286" t="s">
        <v>16</v>
      </c>
      <c r="C286" t="s">
        <v>892</v>
      </c>
      <c r="D286" s="1" t="s">
        <v>893</v>
      </c>
      <c r="E286" t="s">
        <v>709</v>
      </c>
      <c r="F286" t="s">
        <v>20</v>
      </c>
      <c r="G286" t="s">
        <v>21</v>
      </c>
      <c r="H286" t="s">
        <v>443</v>
      </c>
      <c r="I286" t="s">
        <v>23</v>
      </c>
      <c r="J286" t="s">
        <v>24</v>
      </c>
      <c r="K286" s="1" t="s">
        <v>891</v>
      </c>
      <c r="L286" t="s">
        <v>26</v>
      </c>
      <c r="M286">
        <v>25644</v>
      </c>
      <c r="N286">
        <v>-1</v>
      </c>
      <c r="O286" s="2">
        <v>-59990</v>
      </c>
      <c r="P286" s="2">
        <v>32252</v>
      </c>
      <c r="Q286" s="4">
        <f t="shared" si="13"/>
        <v>-50411.764705882357</v>
      </c>
      <c r="R286" s="4">
        <f t="shared" si="14"/>
        <v>-32252</v>
      </c>
      <c r="S286" s="4">
        <f t="shared" si="15"/>
        <v>-18159.764705882357</v>
      </c>
    </row>
    <row r="287" spans="1:19" x14ac:dyDescent="0.3">
      <c r="A287">
        <v>300</v>
      </c>
      <c r="B287" t="s">
        <v>16</v>
      </c>
      <c r="C287" t="s">
        <v>894</v>
      </c>
      <c r="D287" s="1" t="s">
        <v>895</v>
      </c>
      <c r="E287" t="s">
        <v>896</v>
      </c>
      <c r="F287" t="s">
        <v>20</v>
      </c>
      <c r="G287" t="s">
        <v>21</v>
      </c>
      <c r="H287" t="s">
        <v>897</v>
      </c>
      <c r="I287" t="s">
        <v>23</v>
      </c>
      <c r="J287" t="s">
        <v>24</v>
      </c>
      <c r="K287" s="1" t="s">
        <v>891</v>
      </c>
      <c r="L287" t="s">
        <v>26</v>
      </c>
      <c r="M287">
        <v>25645</v>
      </c>
      <c r="N287">
        <v>-1</v>
      </c>
      <c r="O287" s="2">
        <v>-69951</v>
      </c>
      <c r="P287" s="2">
        <v>25434</v>
      </c>
      <c r="Q287" s="4">
        <f t="shared" si="13"/>
        <v>-58782.352941176476</v>
      </c>
      <c r="R287" s="4">
        <f t="shared" si="14"/>
        <v>-25434</v>
      </c>
      <c r="S287" s="4">
        <f t="shared" si="15"/>
        <v>-33348.352941176476</v>
      </c>
    </row>
    <row r="288" spans="1:19" x14ac:dyDescent="0.3">
      <c r="A288">
        <v>300</v>
      </c>
      <c r="B288" t="s">
        <v>16</v>
      </c>
      <c r="C288" t="s">
        <v>898</v>
      </c>
      <c r="D288" s="1" t="s">
        <v>899</v>
      </c>
      <c r="E288" t="s">
        <v>900</v>
      </c>
      <c r="F288" t="s">
        <v>20</v>
      </c>
      <c r="G288" t="s">
        <v>21</v>
      </c>
      <c r="H288" t="s">
        <v>460</v>
      </c>
      <c r="I288" t="s">
        <v>23</v>
      </c>
      <c r="J288" t="s">
        <v>24</v>
      </c>
      <c r="K288" s="1" t="s">
        <v>891</v>
      </c>
      <c r="L288" t="s">
        <v>26</v>
      </c>
      <c r="M288">
        <v>25646</v>
      </c>
      <c r="N288">
        <v>-1</v>
      </c>
      <c r="O288" s="2">
        <v>-59990</v>
      </c>
      <c r="P288" s="2">
        <v>33870</v>
      </c>
      <c r="Q288" s="4">
        <f t="shared" si="13"/>
        <v>-50411.764705882357</v>
      </c>
      <c r="R288" s="4">
        <f t="shared" si="14"/>
        <v>-33870</v>
      </c>
      <c r="S288" s="4">
        <f t="shared" si="15"/>
        <v>-16541.764705882357</v>
      </c>
    </row>
    <row r="289" spans="1:19" x14ac:dyDescent="0.3">
      <c r="A289">
        <v>300</v>
      </c>
      <c r="B289" t="s">
        <v>16</v>
      </c>
      <c r="C289" t="s">
        <v>901</v>
      </c>
      <c r="D289" s="1" t="s">
        <v>902</v>
      </c>
      <c r="E289" t="s">
        <v>903</v>
      </c>
      <c r="F289" t="s">
        <v>20</v>
      </c>
      <c r="G289" t="s">
        <v>21</v>
      </c>
      <c r="H289" t="s">
        <v>803</v>
      </c>
      <c r="I289" t="s">
        <v>23</v>
      </c>
      <c r="J289" t="s">
        <v>24</v>
      </c>
      <c r="K289" s="1" t="s">
        <v>891</v>
      </c>
      <c r="L289" t="s">
        <v>26</v>
      </c>
      <c r="M289">
        <v>25647</v>
      </c>
      <c r="N289">
        <v>-1</v>
      </c>
      <c r="O289" s="2">
        <v>-59990</v>
      </c>
      <c r="P289" s="2">
        <v>32001</v>
      </c>
      <c r="Q289" s="4">
        <f t="shared" si="13"/>
        <v>-50411.764705882357</v>
      </c>
      <c r="R289" s="4">
        <f t="shared" si="14"/>
        <v>-32001</v>
      </c>
      <c r="S289" s="4">
        <f t="shared" si="15"/>
        <v>-18410.764705882357</v>
      </c>
    </row>
    <row r="290" spans="1:19" x14ac:dyDescent="0.3">
      <c r="A290">
        <v>300</v>
      </c>
      <c r="B290" t="s">
        <v>16</v>
      </c>
      <c r="C290" t="s">
        <v>904</v>
      </c>
      <c r="D290" s="1" t="s">
        <v>905</v>
      </c>
      <c r="E290" t="s">
        <v>906</v>
      </c>
      <c r="F290" t="s">
        <v>20</v>
      </c>
      <c r="G290" t="s">
        <v>21</v>
      </c>
      <c r="H290" t="s">
        <v>253</v>
      </c>
      <c r="I290" t="s">
        <v>23</v>
      </c>
      <c r="J290" t="s">
        <v>24</v>
      </c>
      <c r="K290" s="1" t="s">
        <v>891</v>
      </c>
      <c r="L290" t="s">
        <v>26</v>
      </c>
      <c r="M290">
        <v>25648</v>
      </c>
      <c r="N290">
        <v>-1</v>
      </c>
      <c r="O290" s="2">
        <v>-49990</v>
      </c>
      <c r="P290" s="2">
        <v>29024</v>
      </c>
      <c r="Q290" s="4">
        <f t="shared" si="13"/>
        <v>-42008.403361344543</v>
      </c>
      <c r="R290" s="4">
        <f t="shared" si="14"/>
        <v>-29024</v>
      </c>
      <c r="S290" s="4">
        <f t="shared" si="15"/>
        <v>-12984.403361344543</v>
      </c>
    </row>
    <row r="291" spans="1:19" x14ac:dyDescent="0.3">
      <c r="A291">
        <v>300</v>
      </c>
      <c r="B291" t="s">
        <v>16</v>
      </c>
      <c r="C291" t="s">
        <v>907</v>
      </c>
      <c r="D291" s="1" t="s">
        <v>908</v>
      </c>
      <c r="E291" t="s">
        <v>909</v>
      </c>
      <c r="F291" t="s">
        <v>20</v>
      </c>
      <c r="G291" t="s">
        <v>21</v>
      </c>
      <c r="H291" t="s">
        <v>910</v>
      </c>
      <c r="I291" t="s">
        <v>23</v>
      </c>
      <c r="J291" t="s">
        <v>24</v>
      </c>
      <c r="K291" s="1" t="s">
        <v>891</v>
      </c>
      <c r="L291" t="s">
        <v>26</v>
      </c>
      <c r="M291">
        <v>25649</v>
      </c>
      <c r="N291">
        <v>-1</v>
      </c>
      <c r="O291" s="2">
        <v>-69990</v>
      </c>
      <c r="P291" s="2">
        <v>36238</v>
      </c>
      <c r="Q291" s="4">
        <f t="shared" si="13"/>
        <v>-58815.126050420171</v>
      </c>
      <c r="R291" s="4">
        <f t="shared" si="14"/>
        <v>-36238</v>
      </c>
      <c r="S291" s="4">
        <f t="shared" si="15"/>
        <v>-22577.126050420171</v>
      </c>
    </row>
    <row r="292" spans="1:19" x14ac:dyDescent="0.3">
      <c r="A292">
        <v>300</v>
      </c>
      <c r="B292" t="s">
        <v>16</v>
      </c>
      <c r="C292" t="s">
        <v>911</v>
      </c>
      <c r="D292" s="1" t="s">
        <v>912</v>
      </c>
      <c r="E292" t="s">
        <v>913</v>
      </c>
      <c r="F292" t="s">
        <v>20</v>
      </c>
      <c r="G292" t="s">
        <v>21</v>
      </c>
      <c r="H292" t="s">
        <v>94</v>
      </c>
      <c r="I292" t="s">
        <v>23</v>
      </c>
      <c r="J292" t="s">
        <v>49</v>
      </c>
      <c r="K292" s="1" t="s">
        <v>891</v>
      </c>
      <c r="L292" t="s">
        <v>26</v>
      </c>
      <c r="M292">
        <v>25650</v>
      </c>
      <c r="N292">
        <v>-1</v>
      </c>
      <c r="O292" s="2">
        <v>-49990</v>
      </c>
      <c r="P292" s="2">
        <v>23514</v>
      </c>
      <c r="Q292" s="4">
        <f t="shared" si="13"/>
        <v>-42008.403361344543</v>
      </c>
      <c r="R292" s="4">
        <f t="shared" si="14"/>
        <v>-23514</v>
      </c>
      <c r="S292" s="4">
        <f t="shared" si="15"/>
        <v>-18494.403361344543</v>
      </c>
    </row>
    <row r="293" spans="1:19" x14ac:dyDescent="0.3">
      <c r="A293">
        <v>300</v>
      </c>
      <c r="B293" t="s">
        <v>16</v>
      </c>
      <c r="C293" t="s">
        <v>914</v>
      </c>
      <c r="D293" s="1" t="s">
        <v>915</v>
      </c>
      <c r="E293" t="s">
        <v>288</v>
      </c>
      <c r="F293" t="s">
        <v>20</v>
      </c>
      <c r="G293" t="s">
        <v>21</v>
      </c>
      <c r="H293" t="s">
        <v>289</v>
      </c>
      <c r="I293" t="s">
        <v>23</v>
      </c>
      <c r="J293" t="s">
        <v>65</v>
      </c>
      <c r="K293" s="1" t="s">
        <v>891</v>
      </c>
      <c r="L293" t="s">
        <v>26</v>
      </c>
      <c r="M293">
        <v>25651</v>
      </c>
      <c r="N293">
        <v>-1</v>
      </c>
      <c r="O293" s="2">
        <v>-34990</v>
      </c>
      <c r="P293" s="2">
        <v>28634</v>
      </c>
      <c r="Q293" s="4">
        <f t="shared" si="13"/>
        <v>-29403.361344537818</v>
      </c>
      <c r="R293" s="4">
        <f t="shared" si="14"/>
        <v>-28634</v>
      </c>
      <c r="S293" s="4">
        <f t="shared" si="15"/>
        <v>-769.36134453781779</v>
      </c>
    </row>
    <row r="294" spans="1:19" x14ac:dyDescent="0.3">
      <c r="A294">
        <v>300</v>
      </c>
      <c r="B294" t="s">
        <v>16</v>
      </c>
      <c r="C294" t="s">
        <v>916</v>
      </c>
      <c r="D294" s="1" t="s">
        <v>917</v>
      </c>
      <c r="E294" t="s">
        <v>918</v>
      </c>
      <c r="F294" t="s">
        <v>20</v>
      </c>
      <c r="G294" t="s">
        <v>21</v>
      </c>
      <c r="H294" t="s">
        <v>460</v>
      </c>
      <c r="I294" t="s">
        <v>23</v>
      </c>
      <c r="J294" t="s">
        <v>24</v>
      </c>
      <c r="K294" s="1" t="s">
        <v>891</v>
      </c>
      <c r="L294" t="s">
        <v>26</v>
      </c>
      <c r="M294">
        <v>25652</v>
      </c>
      <c r="N294">
        <v>-1</v>
      </c>
      <c r="O294" s="2">
        <v>-59990</v>
      </c>
      <c r="P294" s="2">
        <v>36064</v>
      </c>
      <c r="Q294" s="4">
        <f t="shared" si="13"/>
        <v>-50411.764705882357</v>
      </c>
      <c r="R294" s="4">
        <f t="shared" si="14"/>
        <v>-36064</v>
      </c>
      <c r="S294" s="4">
        <f t="shared" si="15"/>
        <v>-14347.764705882357</v>
      </c>
    </row>
    <row r="295" spans="1:19" x14ac:dyDescent="0.3">
      <c r="A295">
        <v>300</v>
      </c>
      <c r="B295" t="s">
        <v>16</v>
      </c>
      <c r="C295" t="s">
        <v>919</v>
      </c>
      <c r="D295" s="1" t="s">
        <v>920</v>
      </c>
      <c r="E295" t="s">
        <v>921</v>
      </c>
      <c r="F295" t="s">
        <v>20</v>
      </c>
      <c r="G295" t="s">
        <v>21</v>
      </c>
      <c r="H295" t="s">
        <v>278</v>
      </c>
      <c r="I295" t="s">
        <v>23</v>
      </c>
      <c r="J295" t="s">
        <v>24</v>
      </c>
      <c r="K295" s="1" t="s">
        <v>891</v>
      </c>
      <c r="L295" t="s">
        <v>26</v>
      </c>
      <c r="M295">
        <v>25653</v>
      </c>
      <c r="N295">
        <v>-1</v>
      </c>
      <c r="O295" s="2">
        <v>-64989</v>
      </c>
      <c r="P295" s="2">
        <v>34694</v>
      </c>
      <c r="Q295" s="4">
        <f t="shared" si="13"/>
        <v>-54612.60504201681</v>
      </c>
      <c r="R295" s="4">
        <f t="shared" si="14"/>
        <v>-34694</v>
      </c>
      <c r="S295" s="4">
        <f t="shared" si="15"/>
        <v>-19918.60504201681</v>
      </c>
    </row>
    <row r="296" spans="1:19" x14ac:dyDescent="0.3">
      <c r="A296">
        <v>300</v>
      </c>
      <c r="B296" t="s">
        <v>16</v>
      </c>
      <c r="C296" t="s">
        <v>922</v>
      </c>
      <c r="D296" s="1" t="s">
        <v>923</v>
      </c>
      <c r="E296" t="s">
        <v>924</v>
      </c>
      <c r="F296" t="s">
        <v>20</v>
      </c>
      <c r="G296" t="s">
        <v>21</v>
      </c>
      <c r="H296" t="s">
        <v>587</v>
      </c>
      <c r="I296" t="s">
        <v>23</v>
      </c>
      <c r="J296" t="s">
        <v>24</v>
      </c>
      <c r="K296" s="1" t="s">
        <v>891</v>
      </c>
      <c r="L296" t="s">
        <v>26</v>
      </c>
      <c r="M296">
        <v>25654</v>
      </c>
      <c r="N296">
        <v>-1</v>
      </c>
      <c r="O296" s="2">
        <v>-49990</v>
      </c>
      <c r="P296" s="2">
        <v>25147</v>
      </c>
      <c r="Q296" s="4">
        <f t="shared" si="13"/>
        <v>-42008.403361344543</v>
      </c>
      <c r="R296" s="4">
        <f t="shared" si="14"/>
        <v>-25147</v>
      </c>
      <c r="S296" s="4">
        <f t="shared" si="15"/>
        <v>-16861.403361344543</v>
      </c>
    </row>
    <row r="297" spans="1:19" x14ac:dyDescent="0.3">
      <c r="A297">
        <v>300</v>
      </c>
      <c r="B297" t="s">
        <v>16</v>
      </c>
      <c r="C297" t="s">
        <v>925</v>
      </c>
      <c r="D297" s="1" t="s">
        <v>926</v>
      </c>
      <c r="E297" t="s">
        <v>927</v>
      </c>
      <c r="F297" t="s">
        <v>20</v>
      </c>
      <c r="G297" t="s">
        <v>21</v>
      </c>
      <c r="H297" t="s">
        <v>278</v>
      </c>
      <c r="I297" t="s">
        <v>23</v>
      </c>
      <c r="J297" t="s">
        <v>24</v>
      </c>
      <c r="K297" s="1" t="s">
        <v>891</v>
      </c>
      <c r="L297" t="s">
        <v>26</v>
      </c>
      <c r="M297">
        <v>25655</v>
      </c>
      <c r="N297">
        <v>-1</v>
      </c>
      <c r="O297" s="2">
        <v>-49990</v>
      </c>
      <c r="P297" s="2">
        <v>33725</v>
      </c>
      <c r="Q297" s="4">
        <f t="shared" si="13"/>
        <v>-42008.403361344543</v>
      </c>
      <c r="R297" s="4">
        <f t="shared" si="14"/>
        <v>-33725</v>
      </c>
      <c r="S297" s="4">
        <f t="shared" si="15"/>
        <v>-8283.4033613445426</v>
      </c>
    </row>
    <row r="298" spans="1:19" x14ac:dyDescent="0.3">
      <c r="A298">
        <v>300</v>
      </c>
      <c r="B298" t="s">
        <v>16</v>
      </c>
      <c r="C298" t="s">
        <v>928</v>
      </c>
      <c r="D298" s="1" t="s">
        <v>929</v>
      </c>
      <c r="E298" t="s">
        <v>930</v>
      </c>
      <c r="F298" t="s">
        <v>20</v>
      </c>
      <c r="G298" t="s">
        <v>21</v>
      </c>
      <c r="H298" t="s">
        <v>931</v>
      </c>
      <c r="I298" t="s">
        <v>23</v>
      </c>
      <c r="J298" t="s">
        <v>24</v>
      </c>
      <c r="K298" s="1" t="s">
        <v>891</v>
      </c>
      <c r="L298" t="s">
        <v>26</v>
      </c>
      <c r="M298">
        <v>25656</v>
      </c>
      <c r="N298">
        <v>-1</v>
      </c>
      <c r="O298" s="2">
        <v>-59990</v>
      </c>
      <c r="P298" s="2">
        <v>33912</v>
      </c>
      <c r="Q298" s="4">
        <f t="shared" si="13"/>
        <v>-50411.764705882357</v>
      </c>
      <c r="R298" s="4">
        <f t="shared" si="14"/>
        <v>-33912</v>
      </c>
      <c r="S298" s="4">
        <f t="shared" si="15"/>
        <v>-16499.764705882357</v>
      </c>
    </row>
    <row r="299" spans="1:19" x14ac:dyDescent="0.3">
      <c r="A299">
        <v>300</v>
      </c>
      <c r="B299" t="s">
        <v>16</v>
      </c>
      <c r="C299" t="s">
        <v>932</v>
      </c>
      <c r="D299" s="1" t="s">
        <v>933</v>
      </c>
      <c r="E299" t="s">
        <v>671</v>
      </c>
      <c r="F299" t="s">
        <v>20</v>
      </c>
      <c r="G299" t="s">
        <v>21</v>
      </c>
      <c r="H299" t="s">
        <v>85</v>
      </c>
      <c r="I299" t="s">
        <v>23</v>
      </c>
      <c r="J299" t="s">
        <v>44</v>
      </c>
      <c r="K299" s="1" t="s">
        <v>891</v>
      </c>
      <c r="L299" t="s">
        <v>26</v>
      </c>
      <c r="M299">
        <v>25657</v>
      </c>
      <c r="N299">
        <v>-1</v>
      </c>
      <c r="O299" s="2">
        <v>-48990</v>
      </c>
      <c r="P299" s="2">
        <v>31000</v>
      </c>
      <c r="Q299" s="4">
        <f t="shared" si="13"/>
        <v>-41168.067226890758</v>
      </c>
      <c r="R299" s="4">
        <f t="shared" si="14"/>
        <v>-31000</v>
      </c>
      <c r="S299" s="4">
        <f t="shared" si="15"/>
        <v>-10168.067226890758</v>
      </c>
    </row>
    <row r="300" spans="1:19" x14ac:dyDescent="0.3">
      <c r="A300">
        <v>300</v>
      </c>
      <c r="B300" t="s">
        <v>16</v>
      </c>
      <c r="C300" t="s">
        <v>934</v>
      </c>
      <c r="D300" s="1" t="s">
        <v>935</v>
      </c>
      <c r="E300" t="s">
        <v>936</v>
      </c>
      <c r="F300" t="s">
        <v>20</v>
      </c>
      <c r="G300" t="s">
        <v>21</v>
      </c>
      <c r="H300" t="s">
        <v>94</v>
      </c>
      <c r="I300" t="s">
        <v>23</v>
      </c>
      <c r="J300" t="s">
        <v>49</v>
      </c>
      <c r="K300" s="1" t="s">
        <v>891</v>
      </c>
      <c r="L300" t="s">
        <v>26</v>
      </c>
      <c r="M300">
        <v>25658</v>
      </c>
      <c r="N300">
        <v>-1</v>
      </c>
      <c r="O300" s="2">
        <v>-49990</v>
      </c>
      <c r="P300" s="2">
        <v>24678</v>
      </c>
      <c r="Q300" s="4">
        <f t="shared" si="13"/>
        <v>-42008.403361344543</v>
      </c>
      <c r="R300" s="4">
        <f t="shared" si="14"/>
        <v>-24678</v>
      </c>
      <c r="S300" s="4">
        <f t="shared" si="15"/>
        <v>-17330.403361344543</v>
      </c>
    </row>
    <row r="301" spans="1:19" x14ac:dyDescent="0.3">
      <c r="A301">
        <v>300</v>
      </c>
      <c r="B301" t="s">
        <v>16</v>
      </c>
      <c r="C301" t="s">
        <v>937</v>
      </c>
      <c r="D301" s="1" t="s">
        <v>938</v>
      </c>
      <c r="E301" t="s">
        <v>939</v>
      </c>
      <c r="F301" t="s">
        <v>20</v>
      </c>
      <c r="G301" t="s">
        <v>21</v>
      </c>
      <c r="H301" t="s">
        <v>940</v>
      </c>
      <c r="I301" t="s">
        <v>23</v>
      </c>
      <c r="J301" t="s">
        <v>24</v>
      </c>
      <c r="K301" s="1" t="s">
        <v>891</v>
      </c>
      <c r="L301" t="s">
        <v>26</v>
      </c>
      <c r="M301">
        <v>25659</v>
      </c>
      <c r="N301">
        <v>-1</v>
      </c>
      <c r="O301" s="2">
        <v>-54990</v>
      </c>
      <c r="P301" s="2">
        <v>27958</v>
      </c>
      <c r="Q301" s="4">
        <f t="shared" si="13"/>
        <v>-46210.08403361345</v>
      </c>
      <c r="R301" s="4">
        <f t="shared" si="14"/>
        <v>-27958</v>
      </c>
      <c r="S301" s="4">
        <f t="shared" si="15"/>
        <v>-18252.08403361345</v>
      </c>
    </row>
    <row r="302" spans="1:19" x14ac:dyDescent="0.3">
      <c r="A302">
        <v>300</v>
      </c>
      <c r="B302" t="s">
        <v>16</v>
      </c>
      <c r="C302" t="s">
        <v>941</v>
      </c>
      <c r="D302" s="1" t="s">
        <v>942</v>
      </c>
      <c r="E302" t="s">
        <v>943</v>
      </c>
      <c r="F302" t="s">
        <v>20</v>
      </c>
      <c r="G302" t="s">
        <v>21</v>
      </c>
      <c r="H302" t="s">
        <v>944</v>
      </c>
      <c r="I302" t="s">
        <v>23</v>
      </c>
      <c r="J302" t="s">
        <v>31</v>
      </c>
      <c r="K302" s="1" t="s">
        <v>891</v>
      </c>
      <c r="L302" t="s">
        <v>26</v>
      </c>
      <c r="M302">
        <v>25660</v>
      </c>
      <c r="N302">
        <v>-1</v>
      </c>
      <c r="O302" s="2">
        <v>-48990</v>
      </c>
      <c r="P302" s="2">
        <v>22220</v>
      </c>
      <c r="Q302" s="4">
        <f t="shared" si="13"/>
        <v>-41168.067226890758</v>
      </c>
      <c r="R302" s="4">
        <f t="shared" si="14"/>
        <v>-22220</v>
      </c>
      <c r="S302" s="4">
        <f t="shared" si="15"/>
        <v>-18948.067226890758</v>
      </c>
    </row>
    <row r="303" spans="1:19" x14ac:dyDescent="0.3">
      <c r="A303">
        <v>300</v>
      </c>
      <c r="B303" t="s">
        <v>16</v>
      </c>
      <c r="C303" t="s">
        <v>945</v>
      </c>
      <c r="D303" s="1" t="s">
        <v>946</v>
      </c>
      <c r="E303" t="s">
        <v>793</v>
      </c>
      <c r="F303" t="s">
        <v>20</v>
      </c>
      <c r="G303" t="s">
        <v>21</v>
      </c>
      <c r="H303" t="s">
        <v>197</v>
      </c>
      <c r="I303" t="s">
        <v>23</v>
      </c>
      <c r="J303" t="s">
        <v>31</v>
      </c>
      <c r="K303" s="1" t="s">
        <v>891</v>
      </c>
      <c r="L303" t="s">
        <v>26</v>
      </c>
      <c r="M303">
        <v>25661</v>
      </c>
      <c r="N303">
        <v>-1</v>
      </c>
      <c r="O303" s="2">
        <v>-34990</v>
      </c>
      <c r="P303" s="2">
        <v>22786</v>
      </c>
      <c r="Q303" s="4">
        <f t="shared" si="13"/>
        <v>-29403.361344537818</v>
      </c>
      <c r="R303" s="4">
        <f t="shared" si="14"/>
        <v>-22786</v>
      </c>
      <c r="S303" s="4">
        <f t="shared" si="15"/>
        <v>-6617.3613445378178</v>
      </c>
    </row>
    <row r="304" spans="1:19" x14ac:dyDescent="0.3">
      <c r="A304">
        <v>300</v>
      </c>
      <c r="B304" t="s">
        <v>16</v>
      </c>
      <c r="C304" t="s">
        <v>947</v>
      </c>
      <c r="D304" s="1" t="s">
        <v>948</v>
      </c>
      <c r="E304" t="s">
        <v>949</v>
      </c>
      <c r="F304" t="s">
        <v>20</v>
      </c>
      <c r="G304" t="s">
        <v>21</v>
      </c>
      <c r="H304" t="s">
        <v>176</v>
      </c>
      <c r="I304" t="s">
        <v>23</v>
      </c>
      <c r="J304" t="s">
        <v>65</v>
      </c>
      <c r="K304" s="1" t="s">
        <v>891</v>
      </c>
      <c r="L304" t="s">
        <v>26</v>
      </c>
      <c r="M304">
        <v>25662</v>
      </c>
      <c r="N304">
        <v>-1</v>
      </c>
      <c r="O304" s="2">
        <v>-49990</v>
      </c>
      <c r="P304" s="2">
        <v>23171</v>
      </c>
      <c r="Q304" s="4">
        <f t="shared" si="13"/>
        <v>-42008.403361344543</v>
      </c>
      <c r="R304" s="4">
        <f t="shared" si="14"/>
        <v>-23171</v>
      </c>
      <c r="S304" s="4">
        <f t="shared" si="15"/>
        <v>-18837.403361344543</v>
      </c>
    </row>
    <row r="305" spans="1:19" x14ac:dyDescent="0.3">
      <c r="A305">
        <v>300</v>
      </c>
      <c r="B305" t="s">
        <v>16</v>
      </c>
      <c r="C305" t="s">
        <v>950</v>
      </c>
      <c r="D305" s="1" t="s">
        <v>951</v>
      </c>
      <c r="E305" t="s">
        <v>952</v>
      </c>
      <c r="F305" t="s">
        <v>20</v>
      </c>
      <c r="G305" t="s">
        <v>21</v>
      </c>
      <c r="H305" t="s">
        <v>94</v>
      </c>
      <c r="I305" t="s">
        <v>23</v>
      </c>
      <c r="J305" t="s">
        <v>49</v>
      </c>
      <c r="K305" s="1" t="s">
        <v>891</v>
      </c>
      <c r="L305" t="s">
        <v>26</v>
      </c>
      <c r="M305">
        <v>25663</v>
      </c>
      <c r="N305">
        <v>-1</v>
      </c>
      <c r="O305" s="2">
        <v>-49990</v>
      </c>
      <c r="P305" s="2">
        <v>24830</v>
      </c>
      <c r="Q305" s="4">
        <f t="shared" si="13"/>
        <v>-42008.403361344543</v>
      </c>
      <c r="R305" s="4">
        <f t="shared" si="14"/>
        <v>-24830</v>
      </c>
      <c r="S305" s="4">
        <f t="shared" si="15"/>
        <v>-17178.403361344543</v>
      </c>
    </row>
    <row r="306" spans="1:19" x14ac:dyDescent="0.3">
      <c r="A306">
        <v>300</v>
      </c>
      <c r="B306" t="s">
        <v>16</v>
      </c>
      <c r="C306" t="s">
        <v>953</v>
      </c>
      <c r="D306" s="1" t="s">
        <v>954</v>
      </c>
      <c r="E306" t="s">
        <v>955</v>
      </c>
      <c r="F306" t="s">
        <v>20</v>
      </c>
      <c r="G306" t="s">
        <v>21</v>
      </c>
      <c r="H306" t="s">
        <v>343</v>
      </c>
      <c r="I306" t="s">
        <v>23</v>
      </c>
      <c r="J306" t="s">
        <v>24</v>
      </c>
      <c r="K306" s="1" t="s">
        <v>891</v>
      </c>
      <c r="L306" t="s">
        <v>26</v>
      </c>
      <c r="M306">
        <v>25664</v>
      </c>
      <c r="N306">
        <v>-1</v>
      </c>
      <c r="O306" s="2">
        <v>-49990</v>
      </c>
      <c r="P306" s="2">
        <v>28944</v>
      </c>
      <c r="Q306" s="4">
        <f t="shared" si="13"/>
        <v>-42008.403361344543</v>
      </c>
      <c r="R306" s="4">
        <f t="shared" si="14"/>
        <v>-28944</v>
      </c>
      <c r="S306" s="4">
        <f t="shared" si="15"/>
        <v>-13064.403361344543</v>
      </c>
    </row>
    <row r="307" spans="1:19" x14ac:dyDescent="0.3">
      <c r="A307">
        <v>300</v>
      </c>
      <c r="B307" t="s">
        <v>16</v>
      </c>
      <c r="C307" t="s">
        <v>956</v>
      </c>
      <c r="D307" s="1" t="s">
        <v>957</v>
      </c>
      <c r="E307" t="s">
        <v>958</v>
      </c>
      <c r="F307" t="s">
        <v>20</v>
      </c>
      <c r="G307" t="s">
        <v>21</v>
      </c>
      <c r="H307" t="s">
        <v>94</v>
      </c>
      <c r="I307" t="s">
        <v>23</v>
      </c>
      <c r="J307" t="s">
        <v>49</v>
      </c>
      <c r="K307" s="1" t="s">
        <v>891</v>
      </c>
      <c r="L307" t="s">
        <v>26</v>
      </c>
      <c r="M307">
        <v>25665</v>
      </c>
      <c r="N307">
        <v>-1</v>
      </c>
      <c r="O307" s="2">
        <v>-49990</v>
      </c>
      <c r="P307" s="2">
        <v>24617</v>
      </c>
      <c r="Q307" s="4">
        <f t="shared" si="13"/>
        <v>-42008.403361344543</v>
      </c>
      <c r="R307" s="4">
        <f t="shared" si="14"/>
        <v>-24617</v>
      </c>
      <c r="S307" s="4">
        <f t="shared" si="15"/>
        <v>-17391.403361344543</v>
      </c>
    </row>
    <row r="308" spans="1:19" x14ac:dyDescent="0.3">
      <c r="A308">
        <v>300</v>
      </c>
      <c r="B308" t="s">
        <v>16</v>
      </c>
      <c r="C308" t="s">
        <v>959</v>
      </c>
      <c r="D308" s="1" t="s">
        <v>960</v>
      </c>
      <c r="E308" t="s">
        <v>961</v>
      </c>
      <c r="F308" t="s">
        <v>20</v>
      </c>
      <c r="G308" t="s">
        <v>21</v>
      </c>
      <c r="H308" t="s">
        <v>30</v>
      </c>
      <c r="I308" t="s">
        <v>23</v>
      </c>
      <c r="J308" t="s">
        <v>31</v>
      </c>
      <c r="K308" s="1" t="s">
        <v>891</v>
      </c>
      <c r="L308" t="s">
        <v>26</v>
      </c>
      <c r="M308">
        <v>25666</v>
      </c>
      <c r="N308">
        <v>-1</v>
      </c>
      <c r="O308" s="2">
        <v>-44990</v>
      </c>
      <c r="P308" s="2">
        <v>24310</v>
      </c>
      <c r="Q308" s="4">
        <f t="shared" si="13"/>
        <v>-37806.722689075636</v>
      </c>
      <c r="R308" s="4">
        <f t="shared" si="14"/>
        <v>-24310</v>
      </c>
      <c r="S308" s="4">
        <f t="shared" si="15"/>
        <v>-13496.722689075636</v>
      </c>
    </row>
    <row r="309" spans="1:19" x14ac:dyDescent="0.3">
      <c r="A309">
        <v>300</v>
      </c>
      <c r="B309" t="s">
        <v>16</v>
      </c>
      <c r="C309" t="s">
        <v>962</v>
      </c>
      <c r="D309" s="1" t="s">
        <v>963</v>
      </c>
      <c r="E309" t="s">
        <v>964</v>
      </c>
      <c r="F309" t="s">
        <v>20</v>
      </c>
      <c r="G309" t="s">
        <v>21</v>
      </c>
      <c r="H309" t="s">
        <v>106</v>
      </c>
      <c r="I309" t="s">
        <v>23</v>
      </c>
      <c r="J309" t="s">
        <v>49</v>
      </c>
      <c r="K309" s="1" t="s">
        <v>891</v>
      </c>
      <c r="L309" t="s">
        <v>26</v>
      </c>
      <c r="M309">
        <v>25667</v>
      </c>
      <c r="N309">
        <v>-1</v>
      </c>
      <c r="O309" s="2">
        <v>-40990</v>
      </c>
      <c r="P309" s="2">
        <v>27671</v>
      </c>
      <c r="Q309" s="4">
        <f t="shared" si="13"/>
        <v>-34445.378151260506</v>
      </c>
      <c r="R309" s="4">
        <f t="shared" si="14"/>
        <v>-27671</v>
      </c>
      <c r="S309" s="4">
        <f t="shared" si="15"/>
        <v>-6774.3781512605055</v>
      </c>
    </row>
    <row r="310" spans="1:19" x14ac:dyDescent="0.3">
      <c r="A310">
        <v>300</v>
      </c>
      <c r="B310" t="s">
        <v>16</v>
      </c>
      <c r="C310" t="s">
        <v>965</v>
      </c>
      <c r="D310" s="1" t="s">
        <v>966</v>
      </c>
      <c r="E310" t="s">
        <v>967</v>
      </c>
      <c r="F310" t="s">
        <v>20</v>
      </c>
      <c r="G310" t="s">
        <v>21</v>
      </c>
      <c r="H310" t="s">
        <v>750</v>
      </c>
      <c r="I310" t="s">
        <v>23</v>
      </c>
      <c r="J310" t="s">
        <v>49</v>
      </c>
      <c r="K310" s="1" t="s">
        <v>891</v>
      </c>
      <c r="L310" t="s">
        <v>26</v>
      </c>
      <c r="M310">
        <v>25668</v>
      </c>
      <c r="N310">
        <v>-1</v>
      </c>
      <c r="O310" s="2">
        <v>-44990</v>
      </c>
      <c r="P310" s="2">
        <v>29852</v>
      </c>
      <c r="Q310" s="4">
        <f t="shared" si="13"/>
        <v>-37806.722689075636</v>
      </c>
      <c r="R310" s="4">
        <f t="shared" si="14"/>
        <v>-29852</v>
      </c>
      <c r="S310" s="4">
        <f t="shared" si="15"/>
        <v>-7954.7226890756356</v>
      </c>
    </row>
    <row r="311" spans="1:19" x14ac:dyDescent="0.3">
      <c r="A311">
        <v>300</v>
      </c>
      <c r="B311" t="s">
        <v>16</v>
      </c>
      <c r="C311" t="s">
        <v>968</v>
      </c>
      <c r="D311" s="1" t="s">
        <v>969</v>
      </c>
      <c r="E311" t="s">
        <v>614</v>
      </c>
      <c r="F311" t="s">
        <v>20</v>
      </c>
      <c r="G311" t="s">
        <v>21</v>
      </c>
      <c r="H311" t="s">
        <v>615</v>
      </c>
      <c r="I311" t="s">
        <v>23</v>
      </c>
      <c r="J311" t="s">
        <v>65</v>
      </c>
      <c r="K311" s="1" t="s">
        <v>891</v>
      </c>
      <c r="L311" t="s">
        <v>26</v>
      </c>
      <c r="M311">
        <v>25669</v>
      </c>
      <c r="N311">
        <v>-1</v>
      </c>
      <c r="O311" s="2">
        <v>-29990</v>
      </c>
      <c r="P311" s="2">
        <v>20506</v>
      </c>
      <c r="Q311" s="4">
        <f t="shared" si="13"/>
        <v>-25201.680672268907</v>
      </c>
      <c r="R311" s="4">
        <f t="shared" si="14"/>
        <v>-20506</v>
      </c>
      <c r="S311" s="4">
        <f t="shared" si="15"/>
        <v>-4695.6806722689071</v>
      </c>
    </row>
    <row r="312" spans="1:19" x14ac:dyDescent="0.3">
      <c r="A312">
        <v>300</v>
      </c>
      <c r="B312" t="s">
        <v>16</v>
      </c>
      <c r="C312" t="s">
        <v>970</v>
      </c>
      <c r="D312" s="1" t="s">
        <v>971</v>
      </c>
      <c r="E312" t="s">
        <v>972</v>
      </c>
      <c r="F312" t="s">
        <v>20</v>
      </c>
      <c r="G312" t="s">
        <v>21</v>
      </c>
      <c r="H312" t="s">
        <v>253</v>
      </c>
      <c r="I312" t="s">
        <v>23</v>
      </c>
      <c r="J312" t="s">
        <v>49</v>
      </c>
      <c r="K312" s="1" t="s">
        <v>891</v>
      </c>
      <c r="L312" t="s">
        <v>26</v>
      </c>
      <c r="M312">
        <v>25670</v>
      </c>
      <c r="N312">
        <v>-1</v>
      </c>
      <c r="O312" s="2">
        <v>-39990</v>
      </c>
      <c r="P312" s="2">
        <v>23466</v>
      </c>
      <c r="Q312" s="4">
        <f t="shared" si="13"/>
        <v>-33605.042016806721</v>
      </c>
      <c r="R312" s="4">
        <f t="shared" si="14"/>
        <v>-23466</v>
      </c>
      <c r="S312" s="4">
        <f t="shared" si="15"/>
        <v>-10139.042016806721</v>
      </c>
    </row>
    <row r="313" spans="1:19" x14ac:dyDescent="0.3">
      <c r="A313">
        <v>300</v>
      </c>
      <c r="B313" t="s">
        <v>16</v>
      </c>
      <c r="C313" t="s">
        <v>973</v>
      </c>
      <c r="D313" s="1" t="s">
        <v>974</v>
      </c>
      <c r="E313" t="s">
        <v>975</v>
      </c>
      <c r="F313" t="s">
        <v>20</v>
      </c>
      <c r="G313" t="s">
        <v>21</v>
      </c>
      <c r="H313" t="s">
        <v>976</v>
      </c>
      <c r="I313" t="s">
        <v>23</v>
      </c>
      <c r="J313" t="s">
        <v>49</v>
      </c>
      <c r="K313" s="1" t="s">
        <v>891</v>
      </c>
      <c r="L313" t="s">
        <v>26</v>
      </c>
      <c r="M313">
        <v>25671</v>
      </c>
      <c r="N313">
        <v>-1</v>
      </c>
      <c r="O313" s="2">
        <v>-49990</v>
      </c>
      <c r="P313" s="2">
        <v>32455</v>
      </c>
      <c r="Q313" s="4">
        <f t="shared" si="13"/>
        <v>-42008.403361344543</v>
      </c>
      <c r="R313" s="4">
        <f t="shared" si="14"/>
        <v>-32455</v>
      </c>
      <c r="S313" s="4">
        <f t="shared" si="15"/>
        <v>-9553.4033613445426</v>
      </c>
    </row>
    <row r="314" spans="1:19" x14ac:dyDescent="0.3">
      <c r="A314">
        <v>300</v>
      </c>
      <c r="B314" t="s">
        <v>16</v>
      </c>
      <c r="C314" t="s">
        <v>977</v>
      </c>
      <c r="D314" s="1" t="s">
        <v>978</v>
      </c>
      <c r="E314" t="s">
        <v>784</v>
      </c>
      <c r="F314" t="s">
        <v>20</v>
      </c>
      <c r="G314" t="s">
        <v>21</v>
      </c>
      <c r="H314" t="s">
        <v>22</v>
      </c>
      <c r="I314" t="s">
        <v>23</v>
      </c>
      <c r="J314" t="s">
        <v>24</v>
      </c>
      <c r="K314" s="1" t="s">
        <v>891</v>
      </c>
      <c r="L314" t="s">
        <v>26</v>
      </c>
      <c r="M314">
        <v>25672</v>
      </c>
      <c r="N314">
        <v>-1</v>
      </c>
      <c r="O314" s="2">
        <v>-49990</v>
      </c>
      <c r="P314" s="2">
        <v>31897</v>
      </c>
      <c r="Q314" s="4">
        <f t="shared" si="13"/>
        <v>-42008.403361344543</v>
      </c>
      <c r="R314" s="4">
        <f t="shared" si="14"/>
        <v>-31897</v>
      </c>
      <c r="S314" s="4">
        <f t="shared" si="15"/>
        <v>-10111.403361344543</v>
      </c>
    </row>
    <row r="315" spans="1:19" x14ac:dyDescent="0.3">
      <c r="A315">
        <v>300</v>
      </c>
      <c r="B315" t="s">
        <v>16</v>
      </c>
      <c r="C315" t="s">
        <v>979</v>
      </c>
      <c r="D315" s="1" t="s">
        <v>980</v>
      </c>
      <c r="E315" t="s">
        <v>208</v>
      </c>
      <c r="F315" t="s">
        <v>20</v>
      </c>
      <c r="G315" t="s">
        <v>21</v>
      </c>
      <c r="H315" t="s">
        <v>94</v>
      </c>
      <c r="I315" t="s">
        <v>23</v>
      </c>
      <c r="J315" t="s">
        <v>209</v>
      </c>
      <c r="K315" s="1" t="s">
        <v>891</v>
      </c>
      <c r="L315" t="s">
        <v>26</v>
      </c>
      <c r="M315">
        <v>25673</v>
      </c>
      <c r="N315">
        <v>-1</v>
      </c>
      <c r="O315" s="2">
        <v>-59990</v>
      </c>
      <c r="P315" s="2">
        <v>34857</v>
      </c>
      <c r="Q315" s="4">
        <f t="shared" si="13"/>
        <v>-50411.764705882357</v>
      </c>
      <c r="R315" s="4">
        <f t="shared" si="14"/>
        <v>-34857</v>
      </c>
      <c r="S315" s="4">
        <f t="shared" si="15"/>
        <v>-15554.764705882357</v>
      </c>
    </row>
    <row r="316" spans="1:19" x14ac:dyDescent="0.3">
      <c r="A316">
        <v>300</v>
      </c>
      <c r="B316" t="s">
        <v>16</v>
      </c>
      <c r="C316" t="s">
        <v>981</v>
      </c>
      <c r="D316" s="1" t="s">
        <v>982</v>
      </c>
      <c r="E316" t="s">
        <v>983</v>
      </c>
      <c r="F316" t="s">
        <v>20</v>
      </c>
      <c r="G316" t="s">
        <v>21</v>
      </c>
      <c r="H316" t="s">
        <v>56</v>
      </c>
      <c r="I316" t="s">
        <v>23</v>
      </c>
      <c r="J316" t="s">
        <v>49</v>
      </c>
      <c r="K316" s="1" t="s">
        <v>891</v>
      </c>
      <c r="L316" t="s">
        <v>26</v>
      </c>
      <c r="M316">
        <v>25674</v>
      </c>
      <c r="N316">
        <v>-1</v>
      </c>
      <c r="O316" s="2">
        <v>-39990</v>
      </c>
      <c r="P316" s="2">
        <v>22650</v>
      </c>
      <c r="Q316" s="4">
        <f t="shared" si="13"/>
        <v>-33605.042016806721</v>
      </c>
      <c r="R316" s="4">
        <f t="shared" si="14"/>
        <v>-22650</v>
      </c>
      <c r="S316" s="4">
        <f t="shared" si="15"/>
        <v>-10955.042016806721</v>
      </c>
    </row>
    <row r="317" spans="1:19" x14ac:dyDescent="0.3">
      <c r="A317">
        <v>300</v>
      </c>
      <c r="B317" t="s">
        <v>16</v>
      </c>
      <c r="C317" t="s">
        <v>857</v>
      </c>
      <c r="D317" s="1" t="s">
        <v>858</v>
      </c>
      <c r="E317" t="s">
        <v>252</v>
      </c>
      <c r="F317" t="s">
        <v>20</v>
      </c>
      <c r="G317" t="s">
        <v>21</v>
      </c>
      <c r="H317" t="s">
        <v>253</v>
      </c>
      <c r="I317" t="s">
        <v>23</v>
      </c>
      <c r="J317" t="s">
        <v>49</v>
      </c>
      <c r="K317" s="1" t="s">
        <v>891</v>
      </c>
      <c r="L317" t="s">
        <v>26</v>
      </c>
      <c r="M317">
        <v>25675</v>
      </c>
      <c r="N317">
        <v>-1</v>
      </c>
      <c r="O317" s="2">
        <v>-39990</v>
      </c>
      <c r="P317" s="2">
        <v>26199</v>
      </c>
      <c r="Q317" s="4">
        <f t="shared" si="13"/>
        <v>-33605.042016806721</v>
      </c>
      <c r="R317" s="4">
        <f t="shared" si="14"/>
        <v>-26199</v>
      </c>
      <c r="S317" s="4">
        <f t="shared" si="15"/>
        <v>-7406.0420168067212</v>
      </c>
    </row>
    <row r="318" spans="1:19" x14ac:dyDescent="0.3">
      <c r="A318">
        <v>300</v>
      </c>
      <c r="B318" t="s">
        <v>16</v>
      </c>
      <c r="C318" t="s">
        <v>984</v>
      </c>
      <c r="D318" s="1" t="s">
        <v>985</v>
      </c>
      <c r="E318" t="s">
        <v>986</v>
      </c>
      <c r="F318" t="s">
        <v>20</v>
      </c>
      <c r="G318" t="s">
        <v>21</v>
      </c>
      <c r="H318" t="s">
        <v>810</v>
      </c>
      <c r="I318" t="s">
        <v>23</v>
      </c>
      <c r="J318" t="s">
        <v>49</v>
      </c>
      <c r="K318" s="1" t="s">
        <v>891</v>
      </c>
      <c r="L318" t="s">
        <v>26</v>
      </c>
      <c r="M318">
        <v>25676</v>
      </c>
      <c r="N318">
        <v>-1</v>
      </c>
      <c r="O318" s="2">
        <v>-39990</v>
      </c>
      <c r="P318" s="2">
        <v>25989</v>
      </c>
      <c r="Q318" s="4">
        <f t="shared" si="13"/>
        <v>-33605.042016806721</v>
      </c>
      <c r="R318" s="4">
        <f t="shared" si="14"/>
        <v>-25989</v>
      </c>
      <c r="S318" s="4">
        <f t="shared" si="15"/>
        <v>-7616.0420168067212</v>
      </c>
    </row>
    <row r="319" spans="1:19" x14ac:dyDescent="0.3">
      <c r="A319">
        <v>300</v>
      </c>
      <c r="B319" t="s">
        <v>16</v>
      </c>
      <c r="C319" t="s">
        <v>987</v>
      </c>
      <c r="D319" s="1" t="s">
        <v>988</v>
      </c>
      <c r="E319" t="s">
        <v>989</v>
      </c>
      <c r="F319" t="s">
        <v>20</v>
      </c>
      <c r="G319" t="s">
        <v>21</v>
      </c>
      <c r="H319" t="s">
        <v>551</v>
      </c>
      <c r="I319" t="s">
        <v>23</v>
      </c>
      <c r="J319" t="s">
        <v>49</v>
      </c>
      <c r="K319" s="1" t="s">
        <v>891</v>
      </c>
      <c r="L319" t="s">
        <v>26</v>
      </c>
      <c r="M319">
        <v>25677</v>
      </c>
      <c r="N319">
        <v>-1</v>
      </c>
      <c r="O319" s="2">
        <v>-39990</v>
      </c>
      <c r="P319" s="2">
        <v>32789</v>
      </c>
      <c r="Q319" s="4">
        <f t="shared" si="13"/>
        <v>-33605.042016806721</v>
      </c>
      <c r="R319" s="4">
        <f t="shared" si="14"/>
        <v>-32789</v>
      </c>
      <c r="S319" s="4">
        <f t="shared" si="15"/>
        <v>-816.04201680672122</v>
      </c>
    </row>
    <row r="320" spans="1:19" x14ac:dyDescent="0.3">
      <c r="A320">
        <v>300</v>
      </c>
      <c r="B320" t="s">
        <v>16</v>
      </c>
      <c r="C320" t="s">
        <v>990</v>
      </c>
      <c r="D320" s="1" t="s">
        <v>991</v>
      </c>
      <c r="E320" t="s">
        <v>992</v>
      </c>
      <c r="F320" t="s">
        <v>20</v>
      </c>
      <c r="G320" t="s">
        <v>21</v>
      </c>
      <c r="H320" t="s">
        <v>502</v>
      </c>
      <c r="I320" t="s">
        <v>23</v>
      </c>
      <c r="J320" t="s">
        <v>65</v>
      </c>
      <c r="K320" s="1" t="s">
        <v>891</v>
      </c>
      <c r="L320" t="s">
        <v>26</v>
      </c>
      <c r="M320">
        <v>25678</v>
      </c>
      <c r="N320">
        <v>-1</v>
      </c>
      <c r="O320" s="2">
        <v>-39990</v>
      </c>
      <c r="P320" s="2">
        <v>15368</v>
      </c>
      <c r="Q320" s="4">
        <f t="shared" si="13"/>
        <v>-33605.042016806721</v>
      </c>
      <c r="R320" s="4">
        <f t="shared" si="14"/>
        <v>-15368</v>
      </c>
      <c r="S320" s="4">
        <f t="shared" si="15"/>
        <v>-18237.042016806721</v>
      </c>
    </row>
    <row r="321" spans="1:19" x14ac:dyDescent="0.3">
      <c r="A321">
        <v>300</v>
      </c>
      <c r="B321" t="s">
        <v>16</v>
      </c>
      <c r="C321" t="s">
        <v>198</v>
      </c>
      <c r="D321" s="1" t="s">
        <v>199</v>
      </c>
      <c r="E321" t="s">
        <v>200</v>
      </c>
      <c r="F321" t="s">
        <v>20</v>
      </c>
      <c r="G321" t="s">
        <v>21</v>
      </c>
      <c r="H321" t="s">
        <v>201</v>
      </c>
      <c r="I321" t="s">
        <v>23</v>
      </c>
      <c r="J321" t="s">
        <v>49</v>
      </c>
      <c r="K321" s="1" t="s">
        <v>891</v>
      </c>
      <c r="L321" t="s">
        <v>26</v>
      </c>
      <c r="M321">
        <v>25679</v>
      </c>
      <c r="N321">
        <v>-1</v>
      </c>
      <c r="O321" s="2">
        <v>-39990</v>
      </c>
      <c r="P321" s="2">
        <v>25494</v>
      </c>
      <c r="Q321" s="4">
        <f t="shared" si="13"/>
        <v>-33605.042016806721</v>
      </c>
      <c r="R321" s="4">
        <f t="shared" si="14"/>
        <v>-25494</v>
      </c>
      <c r="S321" s="4">
        <f t="shared" si="15"/>
        <v>-8111.0420168067212</v>
      </c>
    </row>
    <row r="322" spans="1:19" x14ac:dyDescent="0.3">
      <c r="A322">
        <v>300</v>
      </c>
      <c r="B322" t="s">
        <v>16</v>
      </c>
      <c r="C322" t="s">
        <v>993</v>
      </c>
      <c r="D322" s="1" t="s">
        <v>994</v>
      </c>
      <c r="E322" t="s">
        <v>995</v>
      </c>
      <c r="F322" t="s">
        <v>20</v>
      </c>
      <c r="G322" t="s">
        <v>110</v>
      </c>
      <c r="H322">
        <v>23720</v>
      </c>
      <c r="I322" t="s">
        <v>23</v>
      </c>
      <c r="J322" t="s">
        <v>65</v>
      </c>
      <c r="K322" s="1" t="s">
        <v>891</v>
      </c>
      <c r="L322" t="s">
        <v>26</v>
      </c>
      <c r="M322">
        <v>25680</v>
      </c>
      <c r="N322">
        <v>-1</v>
      </c>
      <c r="O322" s="2">
        <v>-59950</v>
      </c>
      <c r="P322" s="2">
        <v>19506</v>
      </c>
      <c r="Q322" s="4">
        <f t="shared" si="13"/>
        <v>-50378.151260504201</v>
      </c>
      <c r="R322" s="4">
        <f t="shared" si="14"/>
        <v>-19506</v>
      </c>
      <c r="S322" s="4">
        <f t="shared" si="15"/>
        <v>-30872.151260504201</v>
      </c>
    </row>
    <row r="323" spans="1:19" x14ac:dyDescent="0.3">
      <c r="A323">
        <v>300</v>
      </c>
      <c r="B323" t="s">
        <v>16</v>
      </c>
      <c r="C323" t="s">
        <v>996</v>
      </c>
      <c r="D323" s="1" t="s">
        <v>997</v>
      </c>
      <c r="E323" t="s">
        <v>463</v>
      </c>
      <c r="F323" t="s">
        <v>20</v>
      </c>
      <c r="G323" t="s">
        <v>21</v>
      </c>
      <c r="H323" t="s">
        <v>253</v>
      </c>
      <c r="I323" t="s">
        <v>23</v>
      </c>
      <c r="J323" t="s">
        <v>49</v>
      </c>
      <c r="K323" s="1" t="s">
        <v>891</v>
      </c>
      <c r="L323" t="s">
        <v>26</v>
      </c>
      <c r="M323">
        <v>25681</v>
      </c>
      <c r="N323">
        <v>-1</v>
      </c>
      <c r="O323" s="2">
        <v>-39990</v>
      </c>
      <c r="P323" s="2">
        <v>26741</v>
      </c>
      <c r="Q323" s="4">
        <f t="shared" si="13"/>
        <v>-33605.042016806721</v>
      </c>
      <c r="R323" s="4">
        <f t="shared" si="14"/>
        <v>-26741</v>
      </c>
      <c r="S323" s="4">
        <f t="shared" si="15"/>
        <v>-6864.0420168067212</v>
      </c>
    </row>
    <row r="324" spans="1:19" x14ac:dyDescent="0.3">
      <c r="A324">
        <v>300</v>
      </c>
      <c r="B324" t="s">
        <v>16</v>
      </c>
      <c r="C324" t="s">
        <v>998</v>
      </c>
      <c r="D324" s="1" t="s">
        <v>999</v>
      </c>
      <c r="E324" t="s">
        <v>1000</v>
      </c>
      <c r="F324" t="s">
        <v>20</v>
      </c>
      <c r="G324" t="s">
        <v>21</v>
      </c>
      <c r="H324" t="s">
        <v>94</v>
      </c>
      <c r="I324" t="s">
        <v>23</v>
      </c>
      <c r="J324" t="s">
        <v>49</v>
      </c>
      <c r="K324" s="1" t="s">
        <v>891</v>
      </c>
      <c r="L324" t="s">
        <v>26</v>
      </c>
      <c r="M324">
        <v>25682</v>
      </c>
      <c r="N324">
        <v>-1</v>
      </c>
      <c r="O324" s="2">
        <v>-34990</v>
      </c>
      <c r="P324" s="2">
        <v>21018</v>
      </c>
      <c r="Q324" s="4">
        <f t="shared" si="13"/>
        <v>-29403.361344537818</v>
      </c>
      <c r="R324" s="4">
        <f t="shared" si="14"/>
        <v>-21018</v>
      </c>
      <c r="S324" s="4">
        <f t="shared" si="15"/>
        <v>-8385.3613445378178</v>
      </c>
    </row>
    <row r="325" spans="1:19" x14ac:dyDescent="0.3">
      <c r="A325">
        <v>300</v>
      </c>
      <c r="B325" t="s">
        <v>16</v>
      </c>
      <c r="C325" t="s">
        <v>1001</v>
      </c>
      <c r="D325" s="1" t="s">
        <v>1002</v>
      </c>
      <c r="E325" t="s">
        <v>606</v>
      </c>
      <c r="F325" t="s">
        <v>20</v>
      </c>
      <c r="G325" t="s">
        <v>21</v>
      </c>
      <c r="H325" t="s">
        <v>607</v>
      </c>
      <c r="I325" t="s">
        <v>23</v>
      </c>
      <c r="J325" t="s">
        <v>24</v>
      </c>
      <c r="K325" s="1" t="s">
        <v>891</v>
      </c>
      <c r="L325" t="s">
        <v>26</v>
      </c>
      <c r="M325">
        <v>25683</v>
      </c>
      <c r="N325">
        <v>-1</v>
      </c>
      <c r="O325" s="2">
        <v>-69990</v>
      </c>
      <c r="P325" s="2">
        <v>35351</v>
      </c>
      <c r="Q325" s="4">
        <f t="shared" ref="Q325:Q332" si="16">O325/1.19</f>
        <v>-58815.126050420171</v>
      </c>
      <c r="R325" s="4">
        <f t="shared" ref="R325:R332" si="17">N325*P325</f>
        <v>-35351</v>
      </c>
      <c r="S325" s="4">
        <f t="shared" ref="S325:S332" si="18">Q325-R325</f>
        <v>-23464.126050420171</v>
      </c>
    </row>
    <row r="326" spans="1:19" x14ac:dyDescent="0.3">
      <c r="A326">
        <v>300</v>
      </c>
      <c r="B326" t="s">
        <v>16</v>
      </c>
      <c r="C326" t="s">
        <v>1003</v>
      </c>
      <c r="D326" s="1" t="s">
        <v>1004</v>
      </c>
      <c r="E326" t="s">
        <v>1005</v>
      </c>
      <c r="F326" t="s">
        <v>20</v>
      </c>
      <c r="G326" t="s">
        <v>21</v>
      </c>
      <c r="H326" t="s">
        <v>502</v>
      </c>
      <c r="I326" t="s">
        <v>23</v>
      </c>
      <c r="J326" t="s">
        <v>65</v>
      </c>
      <c r="K326" s="1" t="s">
        <v>891</v>
      </c>
      <c r="L326" t="s">
        <v>26</v>
      </c>
      <c r="M326">
        <v>25684</v>
      </c>
      <c r="N326">
        <v>-1</v>
      </c>
      <c r="O326" s="2">
        <v>-59950</v>
      </c>
      <c r="P326" s="2">
        <v>14287</v>
      </c>
      <c r="Q326" s="4">
        <f t="shared" si="16"/>
        <v>-50378.151260504201</v>
      </c>
      <c r="R326" s="4">
        <f t="shared" si="17"/>
        <v>-14287</v>
      </c>
      <c r="S326" s="4">
        <f t="shared" si="18"/>
        <v>-36091.151260504201</v>
      </c>
    </row>
    <row r="327" spans="1:19" x14ac:dyDescent="0.3">
      <c r="A327">
        <v>300</v>
      </c>
      <c r="B327" t="s">
        <v>16</v>
      </c>
      <c r="C327" t="s">
        <v>1006</v>
      </c>
      <c r="D327" s="1" t="s">
        <v>1007</v>
      </c>
      <c r="E327" t="s">
        <v>1008</v>
      </c>
      <c r="F327" t="s">
        <v>20</v>
      </c>
      <c r="G327" t="s">
        <v>21</v>
      </c>
      <c r="H327" t="s">
        <v>184</v>
      </c>
      <c r="I327" t="s">
        <v>23</v>
      </c>
      <c r="J327" t="s">
        <v>31</v>
      </c>
      <c r="K327" s="1" t="s">
        <v>891</v>
      </c>
      <c r="L327" t="s">
        <v>26</v>
      </c>
      <c r="M327">
        <v>25685</v>
      </c>
      <c r="N327">
        <v>-1</v>
      </c>
      <c r="O327" s="2">
        <v>-39990</v>
      </c>
      <c r="P327" s="2">
        <v>25438</v>
      </c>
      <c r="Q327" s="4">
        <f t="shared" si="16"/>
        <v>-33605.042016806721</v>
      </c>
      <c r="R327" s="4">
        <f t="shared" si="17"/>
        <v>-25438</v>
      </c>
      <c r="S327" s="4">
        <f t="shared" si="18"/>
        <v>-8167.0420168067212</v>
      </c>
    </row>
    <row r="328" spans="1:19" x14ac:dyDescent="0.3">
      <c r="A328">
        <v>300</v>
      </c>
      <c r="B328" t="s">
        <v>16</v>
      </c>
      <c r="C328" t="s">
        <v>1009</v>
      </c>
      <c r="D328" s="1" t="s">
        <v>1010</v>
      </c>
      <c r="E328" t="s">
        <v>117</v>
      </c>
      <c r="F328" t="s">
        <v>20</v>
      </c>
      <c r="G328" t="s">
        <v>21</v>
      </c>
      <c r="H328" t="s">
        <v>118</v>
      </c>
      <c r="I328" t="s">
        <v>23</v>
      </c>
      <c r="J328" t="s">
        <v>24</v>
      </c>
      <c r="K328" s="1" t="s">
        <v>891</v>
      </c>
      <c r="L328" t="s">
        <v>26</v>
      </c>
      <c r="M328">
        <v>25686</v>
      </c>
      <c r="N328">
        <v>-1</v>
      </c>
      <c r="O328" s="2">
        <v>-59990</v>
      </c>
      <c r="P328" s="2">
        <v>35831</v>
      </c>
      <c r="Q328" s="4">
        <f t="shared" si="16"/>
        <v>-50411.764705882357</v>
      </c>
      <c r="R328" s="4">
        <f t="shared" si="17"/>
        <v>-35831</v>
      </c>
      <c r="S328" s="4">
        <f t="shared" si="18"/>
        <v>-14580.764705882357</v>
      </c>
    </row>
    <row r="329" spans="1:19" x14ac:dyDescent="0.3">
      <c r="A329">
        <v>300</v>
      </c>
      <c r="B329" t="s">
        <v>16</v>
      </c>
      <c r="C329" t="s">
        <v>1011</v>
      </c>
      <c r="D329" s="1" t="s">
        <v>1012</v>
      </c>
      <c r="E329" t="s">
        <v>887</v>
      </c>
      <c r="F329" t="s">
        <v>20</v>
      </c>
      <c r="G329" t="s">
        <v>21</v>
      </c>
      <c r="H329" t="s">
        <v>884</v>
      </c>
      <c r="I329" t="s">
        <v>23</v>
      </c>
      <c r="J329" t="s">
        <v>294</v>
      </c>
      <c r="K329" s="1" t="s">
        <v>891</v>
      </c>
      <c r="L329" t="s">
        <v>26</v>
      </c>
      <c r="M329">
        <v>25687</v>
      </c>
      <c r="N329">
        <v>-1</v>
      </c>
      <c r="O329" s="2">
        <v>-29990</v>
      </c>
      <c r="P329" s="2">
        <v>19896</v>
      </c>
      <c r="Q329" s="4">
        <f t="shared" si="16"/>
        <v>-25201.680672268907</v>
      </c>
      <c r="R329" s="4">
        <f t="shared" si="17"/>
        <v>-19896</v>
      </c>
      <c r="S329" s="4">
        <f t="shared" si="18"/>
        <v>-5305.6806722689071</v>
      </c>
    </row>
    <row r="330" spans="1:19" x14ac:dyDescent="0.3">
      <c r="A330">
        <v>300</v>
      </c>
      <c r="B330" t="s">
        <v>16</v>
      </c>
      <c r="C330" t="s">
        <v>1013</v>
      </c>
      <c r="D330" s="1" t="s">
        <v>1014</v>
      </c>
      <c r="E330" t="s">
        <v>887</v>
      </c>
      <c r="F330" t="s">
        <v>20</v>
      </c>
      <c r="G330" t="s">
        <v>21</v>
      </c>
      <c r="H330" t="s">
        <v>884</v>
      </c>
      <c r="I330" t="s">
        <v>23</v>
      </c>
      <c r="J330" t="s">
        <v>294</v>
      </c>
      <c r="K330" s="1" t="s">
        <v>891</v>
      </c>
      <c r="L330" t="s">
        <v>26</v>
      </c>
      <c r="M330">
        <v>25688</v>
      </c>
      <c r="N330">
        <v>-1</v>
      </c>
      <c r="O330" s="2">
        <v>-29990</v>
      </c>
      <c r="P330" s="2">
        <v>19891</v>
      </c>
      <c r="Q330" s="4">
        <f t="shared" si="16"/>
        <v>-25201.680672268907</v>
      </c>
      <c r="R330" s="4">
        <f t="shared" si="17"/>
        <v>-19891</v>
      </c>
      <c r="S330" s="4">
        <f t="shared" si="18"/>
        <v>-5310.6806722689071</v>
      </c>
    </row>
    <row r="331" spans="1:19" x14ac:dyDescent="0.3">
      <c r="A331">
        <v>300</v>
      </c>
      <c r="B331" t="s">
        <v>16</v>
      </c>
      <c r="C331" t="s">
        <v>1013</v>
      </c>
      <c r="D331" s="1" t="s">
        <v>1014</v>
      </c>
      <c r="E331" t="s">
        <v>887</v>
      </c>
      <c r="F331" t="s">
        <v>20</v>
      </c>
      <c r="G331" t="s">
        <v>21</v>
      </c>
      <c r="H331" t="s">
        <v>884</v>
      </c>
      <c r="I331" t="s">
        <v>23</v>
      </c>
      <c r="J331" t="s">
        <v>294</v>
      </c>
      <c r="K331" s="1" t="s">
        <v>891</v>
      </c>
      <c r="L331" t="s">
        <v>26</v>
      </c>
      <c r="M331">
        <v>25689</v>
      </c>
      <c r="N331">
        <v>-1</v>
      </c>
      <c r="O331" s="2">
        <v>-29990</v>
      </c>
      <c r="P331" s="2">
        <v>19891</v>
      </c>
      <c r="Q331" s="4">
        <f t="shared" si="16"/>
        <v>-25201.680672268907</v>
      </c>
      <c r="R331" s="4">
        <f t="shared" si="17"/>
        <v>-19891</v>
      </c>
      <c r="S331" s="4">
        <f t="shared" si="18"/>
        <v>-5310.6806722689071</v>
      </c>
    </row>
    <row r="332" spans="1:19" x14ac:dyDescent="0.3">
      <c r="A332">
        <v>300</v>
      </c>
      <c r="B332" t="s">
        <v>16</v>
      </c>
      <c r="C332" t="s">
        <v>1015</v>
      </c>
      <c r="D332" s="1" t="s">
        <v>1016</v>
      </c>
      <c r="E332" t="s">
        <v>1017</v>
      </c>
      <c r="F332" t="s">
        <v>20</v>
      </c>
      <c r="G332" t="s">
        <v>21</v>
      </c>
      <c r="H332" t="s">
        <v>1018</v>
      </c>
      <c r="I332" t="s">
        <v>23</v>
      </c>
      <c r="J332" t="s">
        <v>24</v>
      </c>
      <c r="K332" s="1" t="s">
        <v>891</v>
      </c>
      <c r="L332" t="s">
        <v>26</v>
      </c>
      <c r="M332">
        <v>25690</v>
      </c>
      <c r="N332">
        <v>-1</v>
      </c>
      <c r="O332" s="2">
        <v>-61989</v>
      </c>
      <c r="P332" s="2">
        <v>33944</v>
      </c>
      <c r="Q332" s="4">
        <f t="shared" si="16"/>
        <v>-52091.596638655465</v>
      </c>
      <c r="R332" s="4">
        <f t="shared" si="17"/>
        <v>-33944</v>
      </c>
      <c r="S332" s="4">
        <f t="shared" si="18"/>
        <v>-18147.596638655465</v>
      </c>
    </row>
  </sheetData>
  <autoFilter ref="A3:S3" xr:uid="{AFC0D392-08DF-48B4-A0D8-EBD09CA00E9D}"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20F808-A45E-40AF-B34F-8D286342DC84}"/>
</file>

<file path=customXml/itemProps2.xml><?xml version="1.0" encoding="utf-8"?>
<ds:datastoreItem xmlns:ds="http://schemas.openxmlformats.org/officeDocument/2006/customXml" ds:itemID="{A012F846-20ED-4AB8-9409-519DE2540897}"/>
</file>

<file path=customXml/itemProps3.xml><?xml version="1.0" encoding="utf-8"?>
<ds:datastoreItem xmlns:ds="http://schemas.openxmlformats.org/officeDocument/2006/customXml" ds:itemID="{257F6A82-2F46-4DD8-A116-498DCFBC8B40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Soto Alarcon</dc:creator>
  <cp:lastModifiedBy>Carolina Cabrera</cp:lastModifiedBy>
  <dcterms:created xsi:type="dcterms:W3CDTF">2026-05-12T13:27:00Z</dcterms:created>
  <dcterms:modified xsi:type="dcterms:W3CDTF">2026-05-12T14:49:08Z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