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05 FLEXI\Legales\"/>
    </mc:Choice>
  </mc:AlternateContent>
  <xr:revisionPtr revIDLastSave="0" documentId="13_ncr:1_{657A71CE-C8C8-49B8-A7EC-6FC87E5D060A}" xr6:coauthVersionLast="47" xr6:coauthVersionMax="47" xr10:uidLastSave="{00000000-0000-0000-0000-000000000000}"/>
  <bookViews>
    <workbookView xWindow="15" yWindow="150" windowWidth="18345" windowHeight="10275" xr2:uid="{6A7BA11D-0A5E-4A9D-B1C6-EA1B8779F7BF}"/>
  </bookViews>
  <sheets>
    <sheet name="Arriendos 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K13" i="1"/>
  <c r="C17" i="1"/>
  <c r="F17" i="1"/>
  <c r="D16" i="1"/>
  <c r="C16" i="1"/>
  <c r="C18" i="1" s="1"/>
  <c r="K15" i="1"/>
  <c r="I14" i="1"/>
  <c r="H14" i="1"/>
  <c r="G14" i="1"/>
  <c r="F14" i="1"/>
  <c r="E14" i="1"/>
  <c r="D14" i="1"/>
  <c r="I13" i="1"/>
  <c r="I17" i="1" s="1"/>
  <c r="H13" i="1"/>
  <c r="G13" i="1"/>
  <c r="G16" i="1" s="1"/>
  <c r="F13" i="1"/>
  <c r="F16" i="1" s="1"/>
  <c r="E13" i="1"/>
  <c r="E17" i="1" s="1"/>
  <c r="D13" i="1"/>
  <c r="D17" i="1" s="1"/>
  <c r="K11" i="1"/>
  <c r="K10" i="1"/>
  <c r="K9" i="1"/>
  <c r="K8" i="1"/>
  <c r="K7" i="1"/>
  <c r="K6" i="1"/>
  <c r="F18" i="1" l="1"/>
  <c r="F19" i="1" s="1"/>
  <c r="F20" i="1" s="1"/>
  <c r="F25" i="1" s="1"/>
  <c r="E16" i="1"/>
  <c r="E18" i="1" s="1"/>
  <c r="E19" i="1" s="1"/>
  <c r="D18" i="1"/>
  <c r="D19" i="1" s="1"/>
  <c r="C19" i="1"/>
  <c r="C20" i="1" s="1"/>
  <c r="H18" i="1"/>
  <c r="H19" i="1" s="1"/>
  <c r="G17" i="1"/>
  <c r="K17" i="1" s="1"/>
  <c r="I16" i="1"/>
  <c r="I18" i="1" s="1"/>
  <c r="I19" i="1" s="1"/>
  <c r="H17" i="1"/>
  <c r="G18" i="1"/>
  <c r="G19" i="1" s="1"/>
  <c r="K14" i="1"/>
  <c r="H16" i="1"/>
  <c r="K16" i="1" s="1"/>
  <c r="E20" i="1" l="1"/>
  <c r="E25" i="1" s="1"/>
  <c r="J18" i="1"/>
  <c r="K18" i="1" s="1"/>
  <c r="L14" i="1" s="1"/>
  <c r="F28" i="1"/>
  <c r="F27" i="1"/>
  <c r="E28" i="1" l="1"/>
  <c r="E27" i="1"/>
  <c r="C22" i="1"/>
  <c r="C23" i="1" s="1"/>
  <c r="K19" i="1"/>
  <c r="L13" i="1"/>
  <c r="L17" i="1"/>
  <c r="L18" i="1"/>
  <c r="L15" i="1"/>
  <c r="L16" i="1"/>
</calcChain>
</file>

<file path=xl/sharedStrings.xml><?xml version="1.0" encoding="utf-8"?>
<sst xmlns="http://schemas.openxmlformats.org/spreadsheetml/2006/main" count="33" uniqueCount="28">
  <si>
    <t>UF  9NOV</t>
  </si>
  <si>
    <t>CENCOSUD</t>
  </si>
  <si>
    <t>PARQUE ARAUCO</t>
  </si>
  <si>
    <t>MALL PLAZA</t>
  </si>
  <si>
    <t xml:space="preserve">CONDICIONES </t>
  </si>
  <si>
    <t>COSTANERA</t>
  </si>
  <si>
    <t>FLORIDA</t>
  </si>
  <si>
    <t>MAIPU</t>
  </si>
  <si>
    <t>DOMINICOS</t>
  </si>
  <si>
    <t>VESPUCIO</t>
  </si>
  <si>
    <t>EGAÑA</t>
  </si>
  <si>
    <t>TREBOL</t>
  </si>
  <si>
    <t>Promedio</t>
  </si>
  <si>
    <t>Variable ( Comision sobre las ventas)</t>
  </si>
  <si>
    <t>Fijo (UF x M2)</t>
  </si>
  <si>
    <t>Gastos Comunes (UF x M2)</t>
  </si>
  <si>
    <t>Fondo promocion ( % sobre el arriendo)</t>
  </si>
  <si>
    <t>Costo Administracion</t>
  </si>
  <si>
    <t>M2</t>
  </si>
  <si>
    <t>Constribuciones Aprox</t>
  </si>
  <si>
    <t>Neto</t>
  </si>
  <si>
    <t>Bruto</t>
  </si>
  <si>
    <t>Pago Mensual según contratros</t>
  </si>
  <si>
    <t>Acumulado ano normal a SEPTIEMBRE</t>
  </si>
  <si>
    <t>Pagado real  a  SEPTIEMBRE</t>
  </si>
  <si>
    <t>Ahorro negociado</t>
  </si>
  <si>
    <t>OK</t>
  </si>
  <si>
    <t>No me queda claro que sea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</si>
</sst>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_ ;[Red]\-#,##0\ "/>
    <numFmt numFmtId="165" formatCode="#,##0.00_ ;[Red]\-#,##0.00\ "/>
    <numFmt numFmtId="166" formatCode="0.0%"/>
    <numFmt numFmtId="167" formatCode="#,##0.0_ ;[Red]\-#,##0.0\ "/>
    <numFmt numFmtId="168" formatCode="&quot;$&quot;#,##0"/>
    <numFmt numFmtId="169" formatCode="[$USD]\ 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5" fillId="0" borderId="0" xfId="1" applyNumberFormat="1" applyFont="1" applyFill="1" applyAlignment="1">
      <alignment vertical="center"/>
    </xf>
    <xf numFmtId="164" fontId="4" fillId="2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3" fontId="4" fillId="3" borderId="6" xfId="1" applyNumberFormat="1" applyFont="1" applyFill="1" applyBorder="1" applyAlignment="1">
      <alignment horizontal="center" vertical="center" wrapText="1"/>
    </xf>
    <xf numFmtId="3" fontId="4" fillId="3" borderId="7" xfId="1" applyNumberFormat="1" applyFont="1" applyFill="1" applyBorder="1" applyAlignment="1">
      <alignment horizontal="center" vertical="center" wrapText="1"/>
    </xf>
    <xf numFmtId="3" fontId="4" fillId="4" borderId="8" xfId="1" applyNumberFormat="1" applyFont="1" applyFill="1" applyBorder="1" applyAlignment="1">
      <alignment horizontal="center" vertical="center" wrapText="1"/>
    </xf>
    <xf numFmtId="3" fontId="4" fillId="2" borderId="6" xfId="1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3" fontId="4" fillId="2" borderId="7" xfId="1" applyNumberFormat="1" applyFont="1" applyFill="1" applyBorder="1" applyAlignment="1">
      <alignment horizontal="center" vertical="center" wrapText="1"/>
    </xf>
    <xf numFmtId="3" fontId="4" fillId="0" borderId="0" xfId="1" applyNumberFormat="1" applyFont="1" applyFill="1" applyBorder="1" applyAlignment="1">
      <alignment horizontal="center" vertical="center" wrapText="1"/>
    </xf>
    <xf numFmtId="0" fontId="9" fillId="0" borderId="9" xfId="0" applyFont="1" applyBorder="1"/>
    <xf numFmtId="10" fontId="10" fillId="0" borderId="0" xfId="2" applyNumberFormat="1" applyFont="1" applyFill="1" applyBorder="1" applyAlignment="1">
      <alignment horizontal="center"/>
    </xf>
    <xf numFmtId="10" fontId="0" fillId="2" borderId="1" xfId="2" applyNumberFormat="1" applyFont="1" applyFill="1" applyBorder="1" applyAlignment="1">
      <alignment horizontal="center"/>
    </xf>
    <xf numFmtId="165" fontId="11" fillId="0" borderId="6" xfId="0" applyNumberFormat="1" applyFont="1" applyBorder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166" fontId="10" fillId="0" borderId="6" xfId="2" applyNumberFormat="1" applyFont="1" applyFill="1" applyBorder="1" applyAlignment="1">
      <alignment horizontal="center"/>
    </xf>
    <xf numFmtId="166" fontId="10" fillId="0" borderId="7" xfId="2" applyNumberFormat="1" applyFont="1" applyFill="1" applyBorder="1" applyAlignment="1">
      <alignment horizontal="center"/>
    </xf>
    <xf numFmtId="166" fontId="10" fillId="0" borderId="8" xfId="2" applyNumberFormat="1" applyFont="1" applyFill="1" applyBorder="1" applyAlignment="1">
      <alignment horizontal="center"/>
    </xf>
    <xf numFmtId="166" fontId="10" fillId="0" borderId="1" xfId="2" applyNumberFormat="1" applyFont="1" applyFill="1" applyBorder="1" applyAlignment="1">
      <alignment horizontal="center"/>
    </xf>
    <xf numFmtId="166" fontId="10" fillId="0" borderId="0" xfId="2" applyNumberFormat="1" applyFont="1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167" fontId="11" fillId="0" borderId="6" xfId="0" applyNumberFormat="1" applyFont="1" applyBorder="1" applyAlignment="1">
      <alignment horizontal="center"/>
    </xf>
    <xf numFmtId="167" fontId="11" fillId="0" borderId="7" xfId="0" applyNumberFormat="1" applyFont="1" applyBorder="1" applyAlignment="1">
      <alignment horizontal="center"/>
    </xf>
    <xf numFmtId="167" fontId="11" fillId="0" borderId="8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67" fontId="11" fillId="0" borderId="0" xfId="0" applyNumberFormat="1" applyFont="1" applyAlignment="1">
      <alignment horizontal="center"/>
    </xf>
    <xf numFmtId="0" fontId="9" fillId="0" borderId="0" xfId="0" applyFont="1"/>
    <xf numFmtId="164" fontId="12" fillId="0" borderId="10" xfId="0" applyNumberFormat="1" applyFont="1" applyBorder="1"/>
    <xf numFmtId="164" fontId="12" fillId="0" borderId="11" xfId="0" applyNumberFormat="1" applyFont="1" applyBorder="1"/>
    <xf numFmtId="0" fontId="13" fillId="0" borderId="12" xfId="0" applyFont="1" applyBorder="1"/>
    <xf numFmtId="0" fontId="13" fillId="0" borderId="10" xfId="0" applyFont="1" applyBorder="1"/>
    <xf numFmtId="0" fontId="13" fillId="0" borderId="0" xfId="0" applyFont="1"/>
    <xf numFmtId="0" fontId="13" fillId="0" borderId="11" xfId="0" applyFont="1" applyBorder="1"/>
    <xf numFmtId="164" fontId="10" fillId="0" borderId="6" xfId="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0" fillId="0" borderId="8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0" fillId="0" borderId="1" xfId="0" applyNumberFormat="1" applyBorder="1"/>
    <xf numFmtId="9" fontId="10" fillId="0" borderId="1" xfId="2" applyFont="1" applyFill="1" applyBorder="1" applyAlignment="1">
      <alignment horizontal="center"/>
    </xf>
    <xf numFmtId="3" fontId="10" fillId="0" borderId="8" xfId="2" applyNumberFormat="1" applyFont="1" applyFill="1" applyBorder="1" applyAlignment="1">
      <alignment horizontal="center"/>
    </xf>
    <xf numFmtId="3" fontId="10" fillId="0" borderId="6" xfId="2" applyNumberFormat="1" applyFont="1" applyFill="1" applyBorder="1" applyAlignment="1">
      <alignment horizontal="center"/>
    </xf>
    <xf numFmtId="3" fontId="10" fillId="0" borderId="1" xfId="2" applyNumberFormat="1" applyFont="1" applyFill="1" applyBorder="1" applyAlignment="1">
      <alignment horizontal="center"/>
    </xf>
    <xf numFmtId="3" fontId="10" fillId="0" borderId="0" xfId="2" applyNumberFormat="1" applyFont="1" applyFill="1" applyBorder="1" applyAlignment="1">
      <alignment horizontal="center"/>
    </xf>
    <xf numFmtId="3" fontId="10" fillId="0" borderId="7" xfId="2" applyNumberFormat="1" applyFont="1" applyFill="1" applyBorder="1" applyAlignment="1">
      <alignment horizontal="center"/>
    </xf>
    <xf numFmtId="164" fontId="6" fillId="0" borderId="13" xfId="0" applyNumberFormat="1" applyFont="1" applyBorder="1" applyAlignment="1">
      <alignment horizontal="center"/>
    </xf>
    <xf numFmtId="164" fontId="6" fillId="0" borderId="14" xfId="0" applyNumberFormat="1" applyFont="1" applyBorder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1" xfId="0" applyNumberFormat="1" applyFont="1" applyBorder="1"/>
    <xf numFmtId="164" fontId="3" fillId="5" borderId="19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9" fontId="2" fillId="0" borderId="1" xfId="2" applyFont="1" applyBorder="1" applyAlignment="1">
      <alignment horizontal="center"/>
    </xf>
    <xf numFmtId="9" fontId="2" fillId="0" borderId="0" xfId="2" applyFont="1" applyFill="1" applyBorder="1" applyAlignment="1">
      <alignment horizontal="center"/>
    </xf>
    <xf numFmtId="0" fontId="9" fillId="0" borderId="9" xfId="0" applyFont="1" applyFill="1" applyBorder="1"/>
    <xf numFmtId="165" fontId="10" fillId="0" borderId="6" xfId="0" applyNumberFormat="1" applyFont="1" applyFill="1" applyBorder="1" applyAlignment="1">
      <alignment horizontal="center"/>
    </xf>
    <xf numFmtId="165" fontId="10" fillId="0" borderId="7" xfId="0" applyNumberFormat="1" applyFont="1" applyFill="1" applyBorder="1" applyAlignment="1">
      <alignment horizontal="center"/>
    </xf>
    <xf numFmtId="165" fontId="10" fillId="0" borderId="8" xfId="0" applyNumberFormat="1" applyFont="1" applyFill="1" applyBorder="1" applyAlignment="1">
      <alignment horizontal="center"/>
    </xf>
    <xf numFmtId="165" fontId="10" fillId="0" borderId="1" xfId="0" applyNumberFormat="1" applyFont="1" applyFill="1" applyBorder="1" applyAlignment="1">
      <alignment horizontal="center"/>
    </xf>
    <xf numFmtId="0" fontId="9" fillId="5" borderId="9" xfId="0" applyFont="1" applyFill="1" applyBorder="1"/>
    <xf numFmtId="10" fontId="10" fillId="5" borderId="6" xfId="2" applyNumberFormat="1" applyFont="1" applyFill="1" applyBorder="1" applyAlignment="1">
      <alignment horizontal="center"/>
    </xf>
    <xf numFmtId="10" fontId="10" fillId="5" borderId="7" xfId="2" applyNumberFormat="1" applyFont="1" applyFill="1" applyBorder="1" applyAlignment="1">
      <alignment horizontal="center"/>
    </xf>
    <xf numFmtId="10" fontId="10" fillId="5" borderId="8" xfId="2" applyNumberFormat="1" applyFont="1" applyFill="1" applyBorder="1" applyAlignment="1">
      <alignment horizontal="center"/>
    </xf>
    <xf numFmtId="10" fontId="10" fillId="5" borderId="1" xfId="2" applyNumberFormat="1" applyFont="1" applyFill="1" applyBorder="1" applyAlignment="1">
      <alignment horizontal="center"/>
    </xf>
    <xf numFmtId="10" fontId="14" fillId="0" borderId="0" xfId="2" applyNumberFormat="1" applyFont="1" applyFill="1" applyBorder="1" applyAlignment="1">
      <alignment horizontal="center"/>
    </xf>
    <xf numFmtId="164" fontId="10" fillId="5" borderId="6" xfId="0" applyNumberFormat="1" applyFont="1" applyFill="1" applyBorder="1" applyAlignment="1">
      <alignment horizontal="center"/>
    </xf>
    <xf numFmtId="164" fontId="10" fillId="5" borderId="7" xfId="0" applyNumberFormat="1" applyFont="1" applyFill="1" applyBorder="1" applyAlignment="1">
      <alignment horizontal="center"/>
    </xf>
    <xf numFmtId="3" fontId="10" fillId="5" borderId="8" xfId="2" applyNumberFormat="1" applyFont="1" applyFill="1" applyBorder="1" applyAlignment="1">
      <alignment horizontal="center"/>
    </xf>
    <xf numFmtId="3" fontId="10" fillId="5" borderId="6" xfId="2" applyNumberFormat="1" applyFont="1" applyFill="1" applyBorder="1" applyAlignment="1">
      <alignment horizontal="center"/>
    </xf>
    <xf numFmtId="3" fontId="10" fillId="5" borderId="1" xfId="2" applyNumberFormat="1" applyFont="1" applyFill="1" applyBorder="1" applyAlignment="1">
      <alignment horizontal="center"/>
    </xf>
    <xf numFmtId="0" fontId="9" fillId="6" borderId="9" xfId="0" applyFont="1" applyFill="1" applyBorder="1"/>
    <xf numFmtId="164" fontId="12" fillId="6" borderId="6" xfId="0" applyNumberFormat="1" applyFont="1" applyFill="1" applyBorder="1" applyAlignment="1">
      <alignment horizontal="center"/>
    </xf>
    <xf numFmtId="164" fontId="12" fillId="6" borderId="7" xfId="0" applyNumberFormat="1" applyFont="1" applyFill="1" applyBorder="1" applyAlignment="1">
      <alignment horizontal="center"/>
    </xf>
    <xf numFmtId="164" fontId="12" fillId="6" borderId="8" xfId="0" applyNumberFormat="1" applyFont="1" applyFill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/>
    </xf>
    <xf numFmtId="164" fontId="7" fillId="3" borderId="2" xfId="1" applyNumberFormat="1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64" fontId="3" fillId="5" borderId="17" xfId="0" applyNumberFormat="1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168" fontId="3" fillId="5" borderId="2" xfId="0" applyNumberFormat="1" applyFont="1" applyFill="1" applyBorder="1" applyAlignment="1">
      <alignment horizontal="center"/>
    </xf>
    <xf numFmtId="168" fontId="3" fillId="5" borderId="5" xfId="0" applyNumberFormat="1" applyFont="1" applyFill="1" applyBorder="1" applyAlignment="1">
      <alignment horizontal="center"/>
    </xf>
    <xf numFmtId="168" fontId="3" fillId="5" borderId="3" xfId="0" applyNumberFormat="1" applyFont="1" applyFill="1" applyBorder="1" applyAlignment="1">
      <alignment horizontal="center"/>
    </xf>
    <xf numFmtId="169" fontId="3" fillId="5" borderId="13" xfId="0" applyNumberFormat="1" applyFont="1" applyFill="1" applyBorder="1" applyAlignment="1">
      <alignment horizontal="center"/>
    </xf>
    <xf numFmtId="169" fontId="3" fillId="5" borderId="16" xfId="0" applyNumberFormat="1" applyFont="1" applyFill="1" applyBorder="1" applyAlignment="1">
      <alignment horizontal="center"/>
    </xf>
    <xf numFmtId="169" fontId="3" fillId="5" borderId="14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3" xfId="0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2" fillId="0" borderId="9" xfId="2" applyFont="1" applyBorder="1" applyAlignment="1">
      <alignment horizontal="center"/>
    </xf>
    <xf numFmtId="9" fontId="2" fillId="0" borderId="24" xfId="2" applyFont="1" applyBorder="1" applyAlignment="1">
      <alignment horizontal="center"/>
    </xf>
    <xf numFmtId="9" fontId="2" fillId="0" borderId="23" xfId="2" applyFont="1" applyBorder="1" applyAlignment="1">
      <alignment horizontal="center"/>
    </xf>
    <xf numFmtId="164" fontId="15" fillId="0" borderId="0" xfId="1" applyNumberFormat="1" applyFont="1" applyFill="1" applyAlignment="1">
      <alignment vertical="center"/>
    </xf>
    <xf numFmtId="0" fontId="2" fillId="0" borderId="0" xfId="0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11AB-69A9-45B3-832B-96E7EDB91135}">
  <dimension ref="B2:L28"/>
  <sheetViews>
    <sheetView tabSelected="1" zoomScale="72" zoomScaleNormal="72" workbookViewId="0">
      <selection activeCell="F4" sqref="F4:I4"/>
    </sheetView>
  </sheetViews>
  <sheetFormatPr baseColWidth="10" defaultRowHeight="15" x14ac:dyDescent="0.25"/>
  <cols>
    <col min="2" max="2" width="42.28515625" bestFit="1" customWidth="1"/>
    <col min="3" max="4" width="15.28515625" customWidth="1"/>
    <col min="5" max="5" width="24.7109375" customWidth="1"/>
    <col min="6" max="9" width="15.28515625" customWidth="1"/>
    <col min="10" max="10" width="34.140625" customWidth="1"/>
    <col min="11" max="11" width="15.42578125" customWidth="1"/>
  </cols>
  <sheetData>
    <row r="2" spans="2:12" x14ac:dyDescent="0.25">
      <c r="B2" s="1" t="s">
        <v>0</v>
      </c>
      <c r="D2" s="2"/>
    </row>
    <row r="3" spans="2:12" ht="15.75" thickBot="1" x14ac:dyDescent="0.3">
      <c r="B3" s="3">
        <v>30485</v>
      </c>
      <c r="C3" s="117">
        <v>4580</v>
      </c>
      <c r="D3" s="117">
        <v>4590</v>
      </c>
      <c r="E3" s="118">
        <v>4520</v>
      </c>
      <c r="F3" s="118">
        <v>4510</v>
      </c>
      <c r="G3" s="118">
        <v>4540</v>
      </c>
      <c r="H3" s="118">
        <v>4530</v>
      </c>
      <c r="I3" s="118">
        <v>4550</v>
      </c>
    </row>
    <row r="4" spans="2:12" x14ac:dyDescent="0.25">
      <c r="B4" s="4"/>
      <c r="C4" s="91" t="s">
        <v>1</v>
      </c>
      <c r="D4" s="92"/>
      <c r="E4" s="5" t="s">
        <v>2</v>
      </c>
      <c r="F4" s="93" t="s">
        <v>3</v>
      </c>
      <c r="G4" s="94"/>
      <c r="H4" s="94"/>
      <c r="I4" s="95"/>
      <c r="J4" s="6"/>
    </row>
    <row r="5" spans="2:12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12" t="s">
        <v>9</v>
      </c>
      <c r="H5" s="12" t="s">
        <v>10</v>
      </c>
      <c r="I5" s="13" t="s">
        <v>11</v>
      </c>
      <c r="J5" s="14"/>
      <c r="K5" s="12" t="s">
        <v>12</v>
      </c>
    </row>
    <row r="6" spans="2:12" x14ac:dyDescent="0.25">
      <c r="B6" s="75" t="s">
        <v>13</v>
      </c>
      <c r="C6" s="76">
        <v>8.1000000000000003E-2</v>
      </c>
      <c r="D6" s="77">
        <v>8.1000000000000003E-2</v>
      </c>
      <c r="E6" s="78">
        <v>8.1000000000000003E-2</v>
      </c>
      <c r="F6" s="76">
        <v>8.1000000000000003E-2</v>
      </c>
      <c r="G6" s="79">
        <v>8.1000000000000003E-2</v>
      </c>
      <c r="H6" s="79">
        <v>8.1000000000000003E-2</v>
      </c>
      <c r="I6" s="77">
        <v>8.1000000000000003E-2</v>
      </c>
      <c r="J6" s="80" t="s">
        <v>27</v>
      </c>
      <c r="K6" s="17">
        <f>AVERAGE(C6:I6)</f>
        <v>8.1000000000000003E-2</v>
      </c>
    </row>
    <row r="7" spans="2:12" x14ac:dyDescent="0.25">
      <c r="B7" s="15" t="s">
        <v>14</v>
      </c>
      <c r="C7" s="18">
        <v>1.9</v>
      </c>
      <c r="D7" s="19">
        <v>0.8</v>
      </c>
      <c r="E7" s="20">
        <v>1</v>
      </c>
      <c r="F7" s="18">
        <v>0.2</v>
      </c>
      <c r="G7" s="21">
        <v>1.5</v>
      </c>
      <c r="H7" s="21">
        <v>1.2</v>
      </c>
      <c r="I7" s="19">
        <v>1.4</v>
      </c>
      <c r="J7" s="16" t="s">
        <v>26</v>
      </c>
      <c r="K7" s="22">
        <f>AVERAGE(C7:I7)</f>
        <v>1.1428571428571428</v>
      </c>
    </row>
    <row r="8" spans="2:12" x14ac:dyDescent="0.25">
      <c r="B8" s="70" t="s">
        <v>15</v>
      </c>
      <c r="C8" s="71">
        <v>0.67</v>
      </c>
      <c r="D8" s="72">
        <v>0.46</v>
      </c>
      <c r="E8" s="73">
        <v>0.52</v>
      </c>
      <c r="F8" s="71">
        <v>0.42</v>
      </c>
      <c r="G8" s="74">
        <v>0.44</v>
      </c>
      <c r="H8" s="74">
        <v>0.44</v>
      </c>
      <c r="I8" s="72">
        <v>0.44</v>
      </c>
      <c r="J8" s="23"/>
      <c r="K8" s="22">
        <f t="shared" ref="K8:K11" si="0">AVERAGE(C8:I8)</f>
        <v>0.48428571428571432</v>
      </c>
    </row>
    <row r="9" spans="2:12" x14ac:dyDescent="0.25">
      <c r="B9" s="70" t="s">
        <v>16</v>
      </c>
      <c r="C9" s="24">
        <v>0.1</v>
      </c>
      <c r="D9" s="25">
        <v>0.1</v>
      </c>
      <c r="E9" s="26">
        <v>0.1</v>
      </c>
      <c r="F9" s="24">
        <v>0.1</v>
      </c>
      <c r="G9" s="27">
        <v>0.1</v>
      </c>
      <c r="H9" s="27">
        <v>0.1</v>
      </c>
      <c r="I9" s="25">
        <v>0.1</v>
      </c>
      <c r="J9" s="16" t="s">
        <v>26</v>
      </c>
      <c r="K9" s="29">
        <f t="shared" si="0"/>
        <v>9.9999999999999992E-2</v>
      </c>
    </row>
    <row r="10" spans="2:12" x14ac:dyDescent="0.25">
      <c r="B10" s="70" t="s">
        <v>17</v>
      </c>
      <c r="C10" s="24">
        <v>0.05</v>
      </c>
      <c r="D10" s="25">
        <v>0.05</v>
      </c>
      <c r="E10" s="26">
        <v>0.05</v>
      </c>
      <c r="F10" s="24">
        <v>0.05</v>
      </c>
      <c r="G10" s="27">
        <v>0.05</v>
      </c>
      <c r="H10" s="27">
        <v>0.05</v>
      </c>
      <c r="I10" s="25">
        <v>0.05</v>
      </c>
      <c r="J10" s="28"/>
      <c r="K10" s="29">
        <f t="shared" si="0"/>
        <v>4.9999999999999996E-2</v>
      </c>
    </row>
    <row r="11" spans="2:12" x14ac:dyDescent="0.25">
      <c r="B11" s="15" t="s">
        <v>18</v>
      </c>
      <c r="C11" s="30">
        <v>96</v>
      </c>
      <c r="D11" s="31">
        <v>76</v>
      </c>
      <c r="E11" s="32">
        <v>60</v>
      </c>
      <c r="F11" s="30">
        <v>109.1</v>
      </c>
      <c r="G11" s="33">
        <v>68.2</v>
      </c>
      <c r="H11" s="33">
        <v>105.65</v>
      </c>
      <c r="I11" s="31">
        <v>81.540000000000006</v>
      </c>
      <c r="J11" s="34"/>
      <c r="K11" s="22">
        <f t="shared" si="0"/>
        <v>85.212857142857146</v>
      </c>
    </row>
    <row r="12" spans="2:12" ht="4.1500000000000004" customHeight="1" x14ac:dyDescent="0.25">
      <c r="B12" s="35"/>
      <c r="C12" s="36"/>
      <c r="D12" s="37"/>
      <c r="E12" s="38"/>
      <c r="F12" s="39"/>
      <c r="G12" s="40"/>
      <c r="H12" s="40"/>
      <c r="I12" s="41"/>
      <c r="J12" s="40"/>
    </row>
    <row r="13" spans="2:12" x14ac:dyDescent="0.25">
      <c r="B13" s="15" t="s">
        <v>14</v>
      </c>
      <c r="C13" s="42">
        <f>C7*$B$3*C11</f>
        <v>5560464</v>
      </c>
      <c r="D13" s="43">
        <f t="shared" ref="D13:I13" si="1">D7*$B$3*D11</f>
        <v>1853488</v>
      </c>
      <c r="E13" s="44">
        <f t="shared" si="1"/>
        <v>1829100</v>
      </c>
      <c r="F13" s="42">
        <f t="shared" si="1"/>
        <v>665182.69999999995</v>
      </c>
      <c r="G13" s="45">
        <f t="shared" si="1"/>
        <v>3118615.5</v>
      </c>
      <c r="H13" s="45">
        <f t="shared" si="1"/>
        <v>3864888.3000000003</v>
      </c>
      <c r="I13" s="43">
        <f t="shared" si="1"/>
        <v>3480045.66</v>
      </c>
      <c r="J13" s="46"/>
      <c r="K13" s="47">
        <f>SUM(C13:I13)</f>
        <v>20371784.16</v>
      </c>
      <c r="L13" s="48">
        <f>K13/$K$18</f>
        <v>0.30032911348197255</v>
      </c>
    </row>
    <row r="14" spans="2:12" x14ac:dyDescent="0.25">
      <c r="B14" s="15" t="s">
        <v>15</v>
      </c>
      <c r="C14" s="42">
        <f>C8*$B$3*C11</f>
        <v>1960795.2000000002</v>
      </c>
      <c r="D14" s="43">
        <f t="shared" ref="D14:I14" si="2">D8*$B$3*D11</f>
        <v>1065755.6000000001</v>
      </c>
      <c r="E14" s="44">
        <f t="shared" si="2"/>
        <v>951132</v>
      </c>
      <c r="F14" s="42">
        <f t="shared" si="2"/>
        <v>1396883.6699999997</v>
      </c>
      <c r="G14" s="45">
        <f t="shared" si="2"/>
        <v>914793.88</v>
      </c>
      <c r="H14" s="45">
        <f t="shared" si="2"/>
        <v>1417125.71</v>
      </c>
      <c r="I14" s="43">
        <f t="shared" si="2"/>
        <v>1093728.6359999999</v>
      </c>
      <c r="J14" s="46"/>
      <c r="K14" s="47">
        <f t="shared" ref="K14:K19" si="3">SUM(C14:I14)</f>
        <v>8800214.6959999986</v>
      </c>
      <c r="L14" s="48">
        <f t="shared" ref="L14:L17" si="4">K14/$K$18</f>
        <v>0.1297363381303715</v>
      </c>
    </row>
    <row r="15" spans="2:12" x14ac:dyDescent="0.25">
      <c r="B15" s="75" t="s">
        <v>19</v>
      </c>
      <c r="C15" s="81">
        <v>244000</v>
      </c>
      <c r="D15" s="82">
        <v>244000</v>
      </c>
      <c r="E15" s="83">
        <v>200000</v>
      </c>
      <c r="F15" s="84">
        <v>250000</v>
      </c>
      <c r="G15" s="85">
        <v>250000</v>
      </c>
      <c r="H15" s="85">
        <v>250000</v>
      </c>
      <c r="I15" s="85">
        <v>250000</v>
      </c>
      <c r="J15" s="52"/>
      <c r="K15" s="47">
        <f t="shared" si="3"/>
        <v>1688000</v>
      </c>
      <c r="L15" s="48">
        <f t="shared" si="4"/>
        <v>2.4885181365360082E-2</v>
      </c>
    </row>
    <row r="16" spans="2:12" x14ac:dyDescent="0.25">
      <c r="B16" s="15" t="s">
        <v>16</v>
      </c>
      <c r="C16" s="50">
        <f>C9*C13</f>
        <v>556046.4</v>
      </c>
      <c r="D16" s="53">
        <f t="shared" ref="D16:I16" si="5">D9*D13</f>
        <v>185348.80000000002</v>
      </c>
      <c r="E16" s="49">
        <f t="shared" si="5"/>
        <v>182910</v>
      </c>
      <c r="F16" s="50">
        <f t="shared" si="5"/>
        <v>66518.27</v>
      </c>
      <c r="G16" s="51">
        <f t="shared" si="5"/>
        <v>311861.55</v>
      </c>
      <c r="H16" s="51">
        <f t="shared" si="5"/>
        <v>386488.83000000007</v>
      </c>
      <c r="I16" s="53">
        <f t="shared" si="5"/>
        <v>348004.56600000005</v>
      </c>
      <c r="J16" s="52"/>
      <c r="K16" s="47">
        <f t="shared" si="3"/>
        <v>2037178.4160000002</v>
      </c>
      <c r="L16" s="48">
        <f t="shared" si="4"/>
        <v>3.0032911348197258E-2</v>
      </c>
    </row>
    <row r="17" spans="2:12" x14ac:dyDescent="0.25">
      <c r="B17" s="15" t="s">
        <v>17</v>
      </c>
      <c r="C17" s="50">
        <f>C13*C10</f>
        <v>278023.2</v>
      </c>
      <c r="D17" s="53">
        <f t="shared" ref="D17:I17" si="6">D13*D10</f>
        <v>92674.400000000009</v>
      </c>
      <c r="E17" s="49">
        <f t="shared" si="6"/>
        <v>91455</v>
      </c>
      <c r="F17" s="50">
        <f t="shared" si="6"/>
        <v>33259.135000000002</v>
      </c>
      <c r="G17" s="51">
        <f t="shared" si="6"/>
        <v>155930.77499999999</v>
      </c>
      <c r="H17" s="51">
        <f t="shared" si="6"/>
        <v>193244.41500000004</v>
      </c>
      <c r="I17" s="53">
        <f t="shared" si="6"/>
        <v>174002.28300000002</v>
      </c>
      <c r="J17" s="52"/>
      <c r="K17" s="47">
        <f t="shared" si="3"/>
        <v>1018589.2080000001</v>
      </c>
      <c r="L17" s="48">
        <f t="shared" si="4"/>
        <v>1.5016455674098629E-2</v>
      </c>
    </row>
    <row r="18" spans="2:12" x14ac:dyDescent="0.25">
      <c r="B18" s="86" t="s">
        <v>20</v>
      </c>
      <c r="C18" s="87">
        <f>SUM(C13:C17)</f>
        <v>8599328.8000000007</v>
      </c>
      <c r="D18" s="88">
        <f t="shared" ref="D18:I18" si="7">SUM(D13:D17)</f>
        <v>3441266.8</v>
      </c>
      <c r="E18" s="89">
        <f t="shared" si="7"/>
        <v>3254597</v>
      </c>
      <c r="F18" s="87">
        <f t="shared" si="7"/>
        <v>2411843.7749999994</v>
      </c>
      <c r="G18" s="90">
        <f t="shared" si="7"/>
        <v>4751201.7050000001</v>
      </c>
      <c r="H18" s="90">
        <f t="shared" si="7"/>
        <v>6111747.2549999999</v>
      </c>
      <c r="I18" s="88">
        <f t="shared" si="7"/>
        <v>5345781.1449999996</v>
      </c>
      <c r="J18" s="58">
        <f>SUM(C18:I18)</f>
        <v>33915766.479999997</v>
      </c>
      <c r="K18" s="47">
        <f>SUM(C18:J18)</f>
        <v>67831532.959999993</v>
      </c>
      <c r="L18" s="48">
        <f>K18/$K$18</f>
        <v>1</v>
      </c>
    </row>
    <row r="19" spans="2:12" ht="15.75" thickBot="1" x14ac:dyDescent="0.3">
      <c r="B19" s="15" t="s">
        <v>21</v>
      </c>
      <c r="C19" s="54">
        <f>C18*1.19</f>
        <v>10233201.272</v>
      </c>
      <c r="D19" s="55">
        <f t="shared" ref="D19:I19" si="8">D18*1.19</f>
        <v>4095107.4919999996</v>
      </c>
      <c r="E19" s="56">
        <f t="shared" si="8"/>
        <v>3872970.4299999997</v>
      </c>
      <c r="F19" s="54">
        <f t="shared" si="8"/>
        <v>2870094.0922499993</v>
      </c>
      <c r="G19" s="57">
        <f t="shared" si="8"/>
        <v>5653930.0289500002</v>
      </c>
      <c r="H19" s="57">
        <f t="shared" si="8"/>
        <v>7272979.2334499992</v>
      </c>
      <c r="I19" s="55">
        <f t="shared" si="8"/>
        <v>6361479.562549999</v>
      </c>
      <c r="J19" s="58"/>
      <c r="K19" s="59">
        <f t="shared" si="3"/>
        <v>40359762.111199997</v>
      </c>
    </row>
    <row r="20" spans="2:12" ht="15.75" thickBot="1" x14ac:dyDescent="0.3">
      <c r="C20" s="96">
        <f>SUM(C19:D19)</f>
        <v>14328308.763999999</v>
      </c>
      <c r="D20" s="97"/>
      <c r="E20" s="60">
        <f>E19</f>
        <v>3872970.4299999997</v>
      </c>
      <c r="F20" s="96">
        <f>SUM(F19:I19)</f>
        <v>22158482.917199999</v>
      </c>
      <c r="G20" s="98"/>
      <c r="H20" s="98"/>
      <c r="I20" s="97"/>
      <c r="J20" s="61"/>
    </row>
    <row r="21" spans="2:12" ht="15.75" thickBot="1" x14ac:dyDescent="0.3"/>
    <row r="22" spans="2:12" ht="15.6" customHeight="1" x14ac:dyDescent="0.25">
      <c r="B22" s="99" t="s">
        <v>22</v>
      </c>
      <c r="C22" s="101">
        <f>SUM(C20:I20)</f>
        <v>40359762.111199997</v>
      </c>
      <c r="D22" s="102"/>
      <c r="E22" s="102"/>
      <c r="F22" s="102"/>
      <c r="G22" s="102"/>
      <c r="H22" s="102"/>
      <c r="I22" s="103"/>
      <c r="J22" s="62"/>
    </row>
    <row r="23" spans="2:12" ht="15.75" thickBot="1" x14ac:dyDescent="0.3">
      <c r="B23" s="100"/>
      <c r="C23" s="104">
        <f>C22/820</f>
        <v>49219.222086829264</v>
      </c>
      <c r="D23" s="105"/>
      <c r="E23" s="105"/>
      <c r="F23" s="105"/>
      <c r="G23" s="105"/>
      <c r="H23" s="105"/>
      <c r="I23" s="106"/>
      <c r="J23" s="63"/>
    </row>
    <row r="25" spans="2:12" x14ac:dyDescent="0.25">
      <c r="B25" s="64" t="s">
        <v>23</v>
      </c>
      <c r="C25" s="107">
        <v>0</v>
      </c>
      <c r="D25" s="108"/>
      <c r="E25" s="65">
        <f>E20*9</f>
        <v>34856733.869999997</v>
      </c>
      <c r="F25" s="109">
        <f>F20*9</f>
        <v>199426346.25479999</v>
      </c>
      <c r="G25" s="110"/>
      <c r="H25" s="110"/>
      <c r="I25" s="110"/>
      <c r="J25" s="61"/>
    </row>
    <row r="26" spans="2:12" x14ac:dyDescent="0.25">
      <c r="B26" s="64" t="s">
        <v>24</v>
      </c>
      <c r="C26" s="107">
        <v>0</v>
      </c>
      <c r="D26" s="108"/>
      <c r="E26" s="65">
        <v>23654528</v>
      </c>
      <c r="F26" s="109">
        <v>137131788</v>
      </c>
      <c r="G26" s="110"/>
      <c r="H26" s="110"/>
      <c r="I26" s="110"/>
      <c r="J26" s="61"/>
    </row>
    <row r="27" spans="2:12" x14ac:dyDescent="0.25">
      <c r="B27" s="111" t="s">
        <v>25</v>
      </c>
      <c r="C27" s="107">
        <v>0</v>
      </c>
      <c r="D27" s="108"/>
      <c r="E27" s="66">
        <f>E26-E25</f>
        <v>-11202205.869999997</v>
      </c>
      <c r="F27" s="112">
        <f>F26-F25</f>
        <v>-62294558.254799992</v>
      </c>
      <c r="G27" s="113"/>
      <c r="H27" s="113"/>
      <c r="I27" s="113"/>
      <c r="J27" s="67"/>
    </row>
    <row r="28" spans="2:12" x14ac:dyDescent="0.25">
      <c r="B28" s="111"/>
      <c r="C28" s="107">
        <v>0</v>
      </c>
      <c r="D28" s="108"/>
      <c r="E28" s="68">
        <f>E26/E25-1</f>
        <v>-0.32137852937625211</v>
      </c>
      <c r="F28" s="114">
        <f>F26/F25-1</f>
        <v>-0.31236874878712584</v>
      </c>
      <c r="G28" s="115"/>
      <c r="H28" s="115"/>
      <c r="I28" s="116"/>
      <c r="J28" s="69"/>
    </row>
  </sheetData>
  <mergeCells count="16">
    <mergeCell ref="C25:D25"/>
    <mergeCell ref="F25:I25"/>
    <mergeCell ref="C26:D26"/>
    <mergeCell ref="F26:I26"/>
    <mergeCell ref="B27:B28"/>
    <mergeCell ref="C27:D27"/>
    <mergeCell ref="F27:I27"/>
    <mergeCell ref="C28:D28"/>
    <mergeCell ref="F28:I28"/>
    <mergeCell ref="C4:D4"/>
    <mergeCell ref="F4:I4"/>
    <mergeCell ref="C20:D20"/>
    <mergeCell ref="F20:I20"/>
    <mergeCell ref="B22:B23"/>
    <mergeCell ref="C22:I22"/>
    <mergeCell ref="C23:I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MediaLengthInSeconds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56DB938C-DE53-4DA0-A5CB-B926C714E245}"/>
</file>

<file path=customXml/itemProps2.xml><?xml version="1.0" encoding="utf-8"?>
<ds:datastoreItem xmlns:ds="http://schemas.openxmlformats.org/officeDocument/2006/customXml" ds:itemID="{C190FDE6-B788-468D-A880-0B673F7A190F}"/>
</file>

<file path=customXml/itemProps3.xml><?xml version="1.0" encoding="utf-8"?>
<ds:datastoreItem xmlns:ds="http://schemas.openxmlformats.org/officeDocument/2006/customXml" ds:itemID="{06C14E80-F12E-4819-9FD1-ECD3416EF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Arriendos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Raul Gonzalez Bradanovic</dc:creator>
  <cp:lastModifiedBy>Carolina Cabrera</cp:lastModifiedBy>
  <dcterms:created xsi:type="dcterms:W3CDTF">2021-11-10T00:21:51Z</dcterms:created>
  <dcterms:modified xsi:type="dcterms:W3CDTF">2022-11-21T20:17:06Z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Order">
    <vt:r8>612000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